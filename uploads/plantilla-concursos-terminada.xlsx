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entenerol\Downloads\"/>
    </mc:Choice>
  </mc:AlternateContent>
  <xr:revisionPtr revIDLastSave="0" documentId="13_ncr:1_{0D7741FB-1143-4D9E-BEE2-2595066D7B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RADA DATOS" sheetId="1" r:id="rId1"/>
    <sheet name="CLASIFICACION" sheetId="2" r:id="rId2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1" l="1"/>
  <c r="L123" i="1" s="1"/>
  <c r="I122" i="1"/>
  <c r="L122" i="1" s="1"/>
  <c r="I121" i="1"/>
  <c r="L121" i="1" s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4" i="1"/>
  <c r="L114" i="1" s="1"/>
  <c r="I113" i="1"/>
  <c r="L113" i="1" s="1"/>
  <c r="I112" i="1"/>
  <c r="L112" i="1" s="1"/>
  <c r="I111" i="1"/>
  <c r="L111" i="1" s="1"/>
  <c r="I110" i="1"/>
  <c r="L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I95" i="1"/>
  <c r="L95" i="1" s="1"/>
  <c r="I94" i="1"/>
  <c r="L94" i="1" s="1"/>
  <c r="I93" i="1"/>
  <c r="L93" i="1" s="1"/>
  <c r="I92" i="1"/>
  <c r="L92" i="1" s="1"/>
  <c r="I91" i="1"/>
  <c r="L91" i="1" s="1"/>
  <c r="I90" i="1"/>
  <c r="L90" i="1" s="1"/>
  <c r="I89" i="1"/>
  <c r="L89" i="1" s="1"/>
  <c r="I88" i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5" i="1"/>
  <c r="L75" i="1" s="1"/>
  <c r="I74" i="1"/>
  <c r="L74" i="1" s="1"/>
  <c r="I73" i="1"/>
  <c r="L73" i="1" s="1"/>
  <c r="I72" i="1"/>
  <c r="L72" i="1" s="1"/>
  <c r="I71" i="1"/>
  <c r="L71" i="1" s="1"/>
  <c r="I70" i="1"/>
  <c r="L70" i="1" s="1"/>
  <c r="I69" i="1"/>
  <c r="L69" i="1" s="1"/>
  <c r="I68" i="1"/>
  <c r="L68" i="1" s="1"/>
  <c r="I67" i="1"/>
  <c r="L67" i="1" s="1"/>
  <c r="I66" i="1"/>
  <c r="L66" i="1" s="1"/>
  <c r="I65" i="1"/>
  <c r="L65" i="1" s="1"/>
  <c r="I64" i="1"/>
  <c r="L64" i="1" s="1"/>
  <c r="I63" i="1"/>
  <c r="L63" i="1" s="1"/>
  <c r="I62" i="1"/>
  <c r="L62" i="1" s="1"/>
  <c r="I61" i="1"/>
  <c r="L61" i="1" s="1"/>
  <c r="I60" i="1"/>
  <c r="L60" i="1" s="1"/>
  <c r="I59" i="1"/>
  <c r="L59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L52" i="1" s="1"/>
  <c r="I51" i="1"/>
  <c r="L51" i="1" s="1"/>
  <c r="I50" i="1"/>
  <c r="L50" i="1" s="1"/>
  <c r="I49" i="1"/>
  <c r="L49" i="1" s="1"/>
  <c r="I48" i="1"/>
  <c r="L48" i="1" s="1"/>
  <c r="I47" i="1"/>
  <c r="L47" i="1" s="1"/>
  <c r="I46" i="1"/>
  <c r="L46" i="1" s="1"/>
  <c r="I45" i="1"/>
  <c r="L45" i="1" s="1"/>
  <c r="I44" i="1"/>
  <c r="L44" i="1" s="1"/>
  <c r="I43" i="1"/>
  <c r="L43" i="1" s="1"/>
  <c r="I42" i="1"/>
  <c r="L42" i="1" s="1"/>
  <c r="I41" i="1"/>
  <c r="L41" i="1" s="1"/>
  <c r="I40" i="1"/>
  <c r="L40" i="1" s="1"/>
  <c r="I39" i="1"/>
  <c r="L39" i="1" s="1"/>
  <c r="I38" i="1"/>
  <c r="L38" i="1" s="1"/>
  <c r="I37" i="1"/>
  <c r="L37" i="1" s="1"/>
  <c r="I36" i="1"/>
  <c r="L36" i="1" s="1"/>
  <c r="I35" i="1"/>
  <c r="L35" i="1" s="1"/>
  <c r="I34" i="1"/>
  <c r="L34" i="1" s="1"/>
  <c r="I33" i="1"/>
  <c r="L33" i="1" s="1"/>
  <c r="I32" i="1"/>
  <c r="L32" i="1" s="1"/>
  <c r="I31" i="1"/>
  <c r="L31" i="1" s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I10" i="1"/>
  <c r="L10" i="1" s="1"/>
  <c r="I9" i="1"/>
  <c r="L9" i="1" s="1"/>
  <c r="I8" i="1"/>
  <c r="L8" i="1" s="1"/>
  <c r="I7" i="1"/>
  <c r="L7" i="1" s="1"/>
  <c r="I6" i="1"/>
  <c r="L6" i="1" s="1"/>
  <c r="I5" i="1"/>
  <c r="L5" i="1" s="1"/>
  <c r="I4" i="1"/>
  <c r="L4" i="1" s="1"/>
  <c r="H20" i="2" l="1"/>
  <c r="K120" i="2"/>
  <c r="E36" i="2"/>
  <c r="F7" i="2"/>
  <c r="K11" i="2"/>
  <c r="D17" i="2"/>
  <c r="J96" i="2"/>
  <c r="B9" i="2"/>
  <c r="H12" i="2"/>
  <c r="K20" i="2"/>
  <c r="I38" i="2"/>
  <c r="A38" i="2" s="1"/>
  <c r="G53" i="2"/>
  <c r="E71" i="2"/>
  <c r="E88" i="2"/>
  <c r="I97" i="2"/>
  <c r="A97" i="2" s="1"/>
  <c r="D115" i="2"/>
  <c r="C9" i="2"/>
  <c r="B21" i="2"/>
  <c r="J38" i="2"/>
  <c r="H82" i="2"/>
  <c r="I99" i="2"/>
  <c r="A99" i="2" s="1"/>
  <c r="F117" i="2"/>
  <c r="D9" i="2"/>
  <c r="D22" i="2"/>
  <c r="G47" i="2"/>
  <c r="I55" i="2"/>
  <c r="A55" i="2" s="1"/>
  <c r="G64" i="2"/>
  <c r="K73" i="2"/>
  <c r="I82" i="2"/>
  <c r="A82" i="2" s="1"/>
  <c r="K90" i="2"/>
  <c r="J99" i="2"/>
  <c r="K108" i="2"/>
  <c r="G117" i="2"/>
  <c r="K5" i="2"/>
  <c r="E10" i="2"/>
  <c r="H17" i="2"/>
  <c r="E22" i="2"/>
  <c r="F26" i="2"/>
  <c r="K31" i="2"/>
  <c r="H47" i="2"/>
  <c r="J55" i="2"/>
  <c r="F65" i="2"/>
  <c r="J82" i="2"/>
  <c r="C91" i="2"/>
  <c r="K99" i="2"/>
  <c r="H117" i="2"/>
  <c r="F24" i="2"/>
  <c r="G29" i="2"/>
  <c r="B44" i="2"/>
  <c r="F52" i="2"/>
  <c r="H70" i="2"/>
  <c r="D79" i="2"/>
  <c r="J87" i="2"/>
  <c r="G105" i="2"/>
  <c r="B114" i="2"/>
  <c r="B4" i="2"/>
  <c r="B16" i="2"/>
  <c r="I20" i="2"/>
  <c r="A20" i="2" s="1"/>
  <c r="F36" i="2"/>
  <c r="E53" i="2"/>
  <c r="B115" i="2"/>
  <c r="C4" i="2"/>
  <c r="H8" i="2"/>
  <c r="H24" i="2"/>
  <c r="D30" i="2"/>
  <c r="C37" i="2"/>
  <c r="C45" i="2"/>
  <c r="F53" i="2"/>
  <c r="E62" i="2"/>
  <c r="K70" i="2"/>
  <c r="C115" i="2"/>
  <c r="D5" i="2"/>
  <c r="E17" i="2"/>
  <c r="H31" i="2"/>
  <c r="D45" i="2"/>
  <c r="F62" i="2"/>
  <c r="G79" i="2"/>
  <c r="I106" i="2"/>
  <c r="A106" i="2" s="1"/>
  <c r="F17" i="2"/>
  <c r="I31" i="2"/>
  <c r="A31" i="2" s="1"/>
  <c r="C47" i="2"/>
  <c r="G108" i="2"/>
  <c r="J5" i="2"/>
  <c r="K13" i="2"/>
  <c r="E26" i="2"/>
  <c r="F10" i="2"/>
  <c r="B14" i="2"/>
  <c r="I18" i="2"/>
  <c r="A18" i="2" s="1"/>
  <c r="J22" i="2"/>
  <c r="H27" i="2"/>
  <c r="C34" i="2"/>
  <c r="B39" i="2"/>
  <c r="I47" i="2"/>
  <c r="A47" i="2" s="1"/>
  <c r="J56" i="2"/>
  <c r="G65" i="2"/>
  <c r="B74" i="2"/>
  <c r="K82" i="2"/>
  <c r="G91" i="2"/>
  <c r="B100" i="2"/>
  <c r="B109" i="2"/>
  <c r="H118" i="2"/>
  <c r="B7" i="2"/>
  <c r="G10" i="2"/>
  <c r="C14" i="2"/>
  <c r="J18" i="2"/>
  <c r="K22" i="2"/>
  <c r="K27" i="2"/>
  <c r="D34" i="2"/>
  <c r="H41" i="2"/>
  <c r="C50" i="2"/>
  <c r="B59" i="2"/>
  <c r="E67" i="2"/>
  <c r="B76" i="2"/>
  <c r="E93" i="2"/>
  <c r="B103" i="2"/>
  <c r="G111" i="2"/>
  <c r="I120" i="2"/>
  <c r="A120" i="2" s="1"/>
  <c r="C62" i="2"/>
  <c r="F12" i="2"/>
  <c r="E79" i="2"/>
  <c r="G12" i="2"/>
  <c r="F79" i="2"/>
  <c r="J25" i="2"/>
  <c r="K25" i="2"/>
  <c r="J90" i="2"/>
  <c r="K38" i="2"/>
  <c r="C7" i="2"/>
  <c r="H10" i="2"/>
  <c r="E15" i="2"/>
  <c r="E19" i="2"/>
  <c r="B23" i="2"/>
  <c r="E34" i="2"/>
  <c r="I41" i="2"/>
  <c r="A41" i="2" s="1"/>
  <c r="D50" i="2"/>
  <c r="C59" i="2"/>
  <c r="I67" i="2"/>
  <c r="A67" i="2" s="1"/>
  <c r="C76" i="2"/>
  <c r="B85" i="2"/>
  <c r="E94" i="2"/>
  <c r="C103" i="2"/>
  <c r="H111" i="2"/>
  <c r="J120" i="2"/>
  <c r="H96" i="2"/>
  <c r="G8" i="2"/>
  <c r="C30" i="2"/>
  <c r="C44" i="2"/>
  <c r="D62" i="2"/>
  <c r="I70" i="2"/>
  <c r="A70" i="2" s="1"/>
  <c r="C88" i="2"/>
  <c r="H105" i="2"/>
  <c r="H106" i="2"/>
  <c r="E5" i="2"/>
  <c r="H55" i="2"/>
  <c r="G17" i="2"/>
  <c r="D7" i="2"/>
  <c r="I10" i="2"/>
  <c r="A10" i="2" s="1"/>
  <c r="F15" i="2"/>
  <c r="F19" i="2"/>
  <c r="D24" i="2"/>
  <c r="B28" i="2"/>
  <c r="H34" i="2"/>
  <c r="J41" i="2"/>
  <c r="F50" i="2"/>
  <c r="D59" i="2"/>
  <c r="J67" i="2"/>
  <c r="D76" i="2"/>
  <c r="F94" i="2"/>
  <c r="D103" i="2"/>
  <c r="J111" i="2"/>
  <c r="K123" i="2"/>
  <c r="I122" i="2"/>
  <c r="A122" i="2" s="1"/>
  <c r="G121" i="2"/>
  <c r="F120" i="2"/>
  <c r="E119" i="2"/>
  <c r="C118" i="2"/>
  <c r="K116" i="2"/>
  <c r="I115" i="2"/>
  <c r="A115" i="2" s="1"/>
  <c r="G114" i="2"/>
  <c r="E113" i="2"/>
  <c r="C112" i="2"/>
  <c r="K109" i="2"/>
  <c r="J108" i="2"/>
  <c r="I107" i="2"/>
  <c r="A107" i="2" s="1"/>
  <c r="G106" i="2"/>
  <c r="E105" i="2"/>
  <c r="C104" i="2"/>
  <c r="K102" i="2"/>
  <c r="J101" i="2"/>
  <c r="H100" i="2"/>
  <c r="F99" i="2"/>
  <c r="E98" i="2"/>
  <c r="D97" i="2"/>
  <c r="C96" i="2"/>
  <c r="B95" i="2"/>
  <c r="J93" i="2"/>
  <c r="H92" i="2"/>
  <c r="F91" i="2"/>
  <c r="D90" i="2"/>
  <c r="C89" i="2"/>
  <c r="B88" i="2"/>
  <c r="K85" i="2"/>
  <c r="J84" i="2"/>
  <c r="I83" i="2"/>
  <c r="A83" i="2" s="1"/>
  <c r="G82" i="2"/>
  <c r="E81" i="2"/>
  <c r="C80" i="2"/>
  <c r="K78" i="2"/>
  <c r="J77" i="2"/>
  <c r="I76" i="2"/>
  <c r="A76" i="2" s="1"/>
  <c r="H75" i="2"/>
  <c r="G74" i="2"/>
  <c r="F73" i="2"/>
  <c r="E72" i="2"/>
  <c r="D71" i="2"/>
  <c r="B70" i="2"/>
  <c r="J68" i="2"/>
  <c r="H67" i="2"/>
  <c r="F66" i="2"/>
  <c r="E65" i="2"/>
  <c r="D64" i="2"/>
  <c r="C63" i="2"/>
  <c r="B62" i="2"/>
  <c r="K59" i="2"/>
  <c r="I58" i="2"/>
  <c r="A58" i="2" s="1"/>
  <c r="G57" i="2"/>
  <c r="E56" i="2"/>
  <c r="C55" i="2"/>
  <c r="K52" i="2"/>
  <c r="J51" i="2"/>
  <c r="I50" i="2"/>
  <c r="A50" i="2" s="1"/>
  <c r="H49" i="2"/>
  <c r="G48" i="2"/>
  <c r="F47" i="2"/>
  <c r="D46" i="2"/>
  <c r="B45" i="2"/>
  <c r="J43" i="2"/>
  <c r="H42" i="2"/>
  <c r="G41" i="2"/>
  <c r="F40" i="2"/>
  <c r="E39" i="2"/>
  <c r="J123" i="2"/>
  <c r="H122" i="2"/>
  <c r="F121" i="2"/>
  <c r="E120" i="2"/>
  <c r="D119" i="2"/>
  <c r="B118" i="2"/>
  <c r="J116" i="2"/>
  <c r="H115" i="2"/>
  <c r="F114" i="2"/>
  <c r="D113" i="2"/>
  <c r="B112" i="2"/>
  <c r="K110" i="2"/>
  <c r="J109" i="2"/>
  <c r="I108" i="2"/>
  <c r="A108" i="2" s="1"/>
  <c r="H107" i="2"/>
  <c r="F106" i="2"/>
  <c r="D105" i="2"/>
  <c r="B104" i="2"/>
  <c r="J102" i="2"/>
  <c r="I101" i="2"/>
  <c r="A101" i="2" s="1"/>
  <c r="G100" i="2"/>
  <c r="E99" i="2"/>
  <c r="D98" i="2"/>
  <c r="C97" i="2"/>
  <c r="B96" i="2"/>
  <c r="K94" i="2"/>
  <c r="I93" i="2"/>
  <c r="A93" i="2" s="1"/>
  <c r="G92" i="2"/>
  <c r="E91" i="2"/>
  <c r="C90" i="2"/>
  <c r="B89" i="2"/>
  <c r="K86" i="2"/>
  <c r="J85" i="2"/>
  <c r="I84" i="2"/>
  <c r="A84" i="2" s="1"/>
  <c r="H83" i="2"/>
  <c r="F82" i="2"/>
  <c r="D81" i="2"/>
  <c r="B80" i="2"/>
  <c r="J78" i="2"/>
  <c r="I77" i="2"/>
  <c r="A77" i="2" s="1"/>
  <c r="H76" i="2"/>
  <c r="G75" i="2"/>
  <c r="F74" i="2"/>
  <c r="E73" i="2"/>
  <c r="D72" i="2"/>
  <c r="C71" i="2"/>
  <c r="K69" i="2"/>
  <c r="I68" i="2"/>
  <c r="A68" i="2" s="1"/>
  <c r="G67" i="2"/>
  <c r="E66" i="2"/>
  <c r="D65" i="2"/>
  <c r="C64" i="2"/>
  <c r="B63" i="2"/>
  <c r="K60" i="2"/>
  <c r="J59" i="2"/>
  <c r="H58" i="2"/>
  <c r="F57" i="2"/>
  <c r="D56" i="2"/>
  <c r="B55" i="2"/>
  <c r="K53" i="2"/>
  <c r="J52" i="2"/>
  <c r="I51" i="2"/>
  <c r="A51" i="2" s="1"/>
  <c r="H50" i="2"/>
  <c r="G49" i="2"/>
  <c r="F48" i="2"/>
  <c r="E47" i="2"/>
  <c r="C46" i="2"/>
  <c r="K44" i="2"/>
  <c r="I43" i="2"/>
  <c r="A43" i="2" s="1"/>
  <c r="G42" i="2"/>
  <c r="F41" i="2"/>
  <c r="E40" i="2"/>
  <c r="D39" i="2"/>
  <c r="C38" i="2"/>
  <c r="K36" i="2"/>
  <c r="I35" i="2"/>
  <c r="A35" i="2" s="1"/>
  <c r="G34" i="2"/>
  <c r="E33" i="2"/>
  <c r="C32" i="2"/>
  <c r="B31" i="2"/>
  <c r="K28" i="2"/>
  <c r="J27" i="2"/>
  <c r="I123" i="2"/>
  <c r="A123" i="2" s="1"/>
  <c r="G122" i="2"/>
  <c r="E121" i="2"/>
  <c r="D120" i="2"/>
  <c r="C119" i="2"/>
  <c r="K117" i="2"/>
  <c r="I116" i="2"/>
  <c r="A116" i="2" s="1"/>
  <c r="G115" i="2"/>
  <c r="E114" i="2"/>
  <c r="C113" i="2"/>
  <c r="K111" i="2"/>
  <c r="J110" i="2"/>
  <c r="I109" i="2"/>
  <c r="A109" i="2" s="1"/>
  <c r="H108" i="2"/>
  <c r="G107" i="2"/>
  <c r="E106" i="2"/>
  <c r="C105" i="2"/>
  <c r="K103" i="2"/>
  <c r="I102" i="2"/>
  <c r="A102" i="2" s="1"/>
  <c r="H101" i="2"/>
  <c r="F100" i="2"/>
  <c r="D99" i="2"/>
  <c r="C98" i="2"/>
  <c r="B97" i="2"/>
  <c r="J94" i="2"/>
  <c r="H93" i="2"/>
  <c r="F92" i="2"/>
  <c r="D91" i="2"/>
  <c r="B90" i="2"/>
  <c r="K87" i="2"/>
  <c r="J86" i="2"/>
  <c r="I85" i="2"/>
  <c r="A85" i="2" s="1"/>
  <c r="H84" i="2"/>
  <c r="G83" i="2"/>
  <c r="E82" i="2"/>
  <c r="C81" i="2"/>
  <c r="K79" i="2"/>
  <c r="I78" i="2"/>
  <c r="A78" i="2" s="1"/>
  <c r="H77" i="2"/>
  <c r="G76" i="2"/>
  <c r="F75" i="2"/>
  <c r="E74" i="2"/>
  <c r="D73" i="2"/>
  <c r="C72" i="2"/>
  <c r="B71" i="2"/>
  <c r="J69" i="2"/>
  <c r="H68" i="2"/>
  <c r="F67" i="2"/>
  <c r="D66" i="2"/>
  <c r="C65" i="2"/>
  <c r="B64" i="2"/>
  <c r="K61" i="2"/>
  <c r="J60" i="2"/>
  <c r="I59" i="2"/>
  <c r="A59" i="2" s="1"/>
  <c r="G58" i="2"/>
  <c r="E57" i="2"/>
  <c r="C56" i="2"/>
  <c r="K54" i="2"/>
  <c r="J53" i="2"/>
  <c r="I52" i="2"/>
  <c r="A52" i="2" s="1"/>
  <c r="H51" i="2"/>
  <c r="G50" i="2"/>
  <c r="F49" i="2"/>
  <c r="E48" i="2"/>
  <c r="D47" i="2"/>
  <c r="B46" i="2"/>
  <c r="J44" i="2"/>
  <c r="H43" i="2"/>
  <c r="F42" i="2"/>
  <c r="E41" i="2"/>
  <c r="D40" i="2"/>
  <c r="C39" i="2"/>
  <c r="B38" i="2"/>
  <c r="J36" i="2"/>
  <c r="H35" i="2"/>
  <c r="F34" i="2"/>
  <c r="D33" i="2"/>
  <c r="B32" i="2"/>
  <c r="K29" i="2"/>
  <c r="J28" i="2"/>
  <c r="I27" i="2"/>
  <c r="A27" i="2" s="1"/>
  <c r="G123" i="2"/>
  <c r="E122" i="2"/>
  <c r="C121" i="2"/>
  <c r="B120" i="2"/>
  <c r="K118" i="2"/>
  <c r="I117" i="2"/>
  <c r="A117" i="2" s="1"/>
  <c r="G116" i="2"/>
  <c r="E115" i="2"/>
  <c r="C114" i="2"/>
  <c r="K112" i="2"/>
  <c r="I111" i="2"/>
  <c r="A111" i="2" s="1"/>
  <c r="H110" i="2"/>
  <c r="G109" i="2"/>
  <c r="F108" i="2"/>
  <c r="E107" i="2"/>
  <c r="C106" i="2"/>
  <c r="K104" i="2"/>
  <c r="I103" i="2"/>
  <c r="A103" i="2" s="1"/>
  <c r="G102" i="2"/>
  <c r="F101" i="2"/>
  <c r="D100" i="2"/>
  <c r="B99" i="2"/>
  <c r="K96" i="2"/>
  <c r="J95" i="2"/>
  <c r="H94" i="2"/>
  <c r="F93" i="2"/>
  <c r="D92" i="2"/>
  <c r="B91" i="2"/>
  <c r="K89" i="2"/>
  <c r="J88" i="2"/>
  <c r="I87" i="2"/>
  <c r="A87" i="2" s="1"/>
  <c r="H86" i="2"/>
  <c r="G85" i="2"/>
  <c r="F84" i="2"/>
  <c r="E83" i="2"/>
  <c r="C82" i="2"/>
  <c r="K80" i="2"/>
  <c r="I79" i="2"/>
  <c r="A79" i="2" s="1"/>
  <c r="G78" i="2"/>
  <c r="F77" i="2"/>
  <c r="E76" i="2"/>
  <c r="D75" i="2"/>
  <c r="C74" i="2"/>
  <c r="B73" i="2"/>
  <c r="J70" i="2"/>
  <c r="H69" i="2"/>
  <c r="F68" i="2"/>
  <c r="D67" i="2"/>
  <c r="B66" i="2"/>
  <c r="K63" i="2"/>
  <c r="J62" i="2"/>
  <c r="I61" i="2"/>
  <c r="A61" i="2" s="1"/>
  <c r="H60" i="2"/>
  <c r="G59" i="2"/>
  <c r="E58" i="2"/>
  <c r="C57" i="2"/>
  <c r="K55" i="2"/>
  <c r="I54" i="2"/>
  <c r="A54" i="2" s="1"/>
  <c r="H53" i="2"/>
  <c r="G52" i="2"/>
  <c r="F51" i="2"/>
  <c r="E50" i="2"/>
  <c r="D49" i="2"/>
  <c r="C48" i="2"/>
  <c r="B47" i="2"/>
  <c r="J45" i="2"/>
  <c r="H44" i="2"/>
  <c r="F43" i="2"/>
  <c r="D42" i="2"/>
  <c r="C41" i="2"/>
  <c r="H123" i="2"/>
  <c r="K121" i="2"/>
  <c r="C120" i="2"/>
  <c r="G118" i="2"/>
  <c r="H116" i="2"/>
  <c r="K114" i="2"/>
  <c r="B113" i="2"/>
  <c r="E111" i="2"/>
  <c r="H109" i="2"/>
  <c r="B108" i="2"/>
  <c r="D106" i="2"/>
  <c r="G104" i="2"/>
  <c r="H102" i="2"/>
  <c r="B101" i="2"/>
  <c r="C99" i="2"/>
  <c r="H97" i="2"/>
  <c r="K95" i="2"/>
  <c r="D94" i="2"/>
  <c r="E92" i="2"/>
  <c r="H90" i="2"/>
  <c r="K88" i="2"/>
  <c r="E87" i="2"/>
  <c r="H85" i="2"/>
  <c r="B84" i="2"/>
  <c r="D82" i="2"/>
  <c r="G80" i="2"/>
  <c r="H78" i="2"/>
  <c r="B77" i="2"/>
  <c r="E75" i="2"/>
  <c r="J73" i="2"/>
  <c r="B72" i="2"/>
  <c r="F70" i="2"/>
  <c r="G68" i="2"/>
  <c r="J66" i="2"/>
  <c r="B65" i="2"/>
  <c r="G63" i="2"/>
  <c r="J61" i="2"/>
  <c r="D60" i="2"/>
  <c r="F58" i="2"/>
  <c r="I56" i="2"/>
  <c r="A56" i="2" s="1"/>
  <c r="J54" i="2"/>
  <c r="D53" i="2"/>
  <c r="G51" i="2"/>
  <c r="D48" i="2"/>
  <c r="H46" i="2"/>
  <c r="I44" i="2"/>
  <c r="A44" i="2" s="1"/>
  <c r="B43" i="2"/>
  <c r="D41" i="2"/>
  <c r="J39" i="2"/>
  <c r="F38" i="2"/>
  <c r="F35" i="2"/>
  <c r="B34" i="2"/>
  <c r="H32" i="2"/>
  <c r="E31" i="2"/>
  <c r="B30" i="2"/>
  <c r="H28" i="2"/>
  <c r="E27" i="2"/>
  <c r="D26" i="2"/>
  <c r="C25" i="2"/>
  <c r="K23" i="2"/>
  <c r="I22" i="2"/>
  <c r="A22" i="2" s="1"/>
  <c r="G21" i="2"/>
  <c r="E20" i="2"/>
  <c r="D19" i="2"/>
  <c r="B18" i="2"/>
  <c r="K16" i="2"/>
  <c r="J15" i="2"/>
  <c r="H14" i="2"/>
  <c r="G13" i="2"/>
  <c r="E12" i="2"/>
  <c r="C11" i="2"/>
  <c r="B10" i="2"/>
  <c r="K7" i="2"/>
  <c r="J6" i="2"/>
  <c r="I5" i="2"/>
  <c r="A5" i="2" s="1"/>
  <c r="H4" i="2"/>
  <c r="H71" i="2"/>
  <c r="J40" i="2"/>
  <c r="F123" i="2"/>
  <c r="J121" i="2"/>
  <c r="F118" i="2"/>
  <c r="F116" i="2"/>
  <c r="J114" i="2"/>
  <c r="J112" i="2"/>
  <c r="D111" i="2"/>
  <c r="F109" i="2"/>
  <c r="B106" i="2"/>
  <c r="F104" i="2"/>
  <c r="F102" i="2"/>
  <c r="K100" i="2"/>
  <c r="G97" i="2"/>
  <c r="I95" i="2"/>
  <c r="A95" i="2" s="1"/>
  <c r="C94" i="2"/>
  <c r="C92" i="2"/>
  <c r="G90" i="2"/>
  <c r="I88" i="2"/>
  <c r="A88" i="2" s="1"/>
  <c r="D87" i="2"/>
  <c r="F85" i="2"/>
  <c r="B82" i="2"/>
  <c r="F80" i="2"/>
  <c r="F78" i="2"/>
  <c r="C75" i="2"/>
  <c r="I73" i="2"/>
  <c r="A73" i="2" s="1"/>
  <c r="K71" i="2"/>
  <c r="E70" i="2"/>
  <c r="E68" i="2"/>
  <c r="I66" i="2"/>
  <c r="A66" i="2" s="1"/>
  <c r="K64" i="2"/>
  <c r="F63" i="2"/>
  <c r="H61" i="2"/>
  <c r="C60" i="2"/>
  <c r="D58" i="2"/>
  <c r="H56" i="2"/>
  <c r="H54" i="2"/>
  <c r="C53" i="2"/>
  <c r="E51" i="2"/>
  <c r="K49" i="2"/>
  <c r="B48" i="2"/>
  <c r="G46" i="2"/>
  <c r="G44" i="2"/>
  <c r="K42" i="2"/>
  <c r="B41" i="2"/>
  <c r="I39" i="2"/>
  <c r="A39" i="2" s="1"/>
  <c r="E38" i="2"/>
  <c r="I36" i="2"/>
  <c r="A36" i="2" s="1"/>
  <c r="E35" i="2"/>
  <c r="K33" i="2"/>
  <c r="G32" i="2"/>
  <c r="D31" i="2"/>
  <c r="J29" i="2"/>
  <c r="G28" i="2"/>
  <c r="D27" i="2"/>
  <c r="C26" i="2"/>
  <c r="B25" i="2"/>
  <c r="J23" i="2"/>
  <c r="H22" i="2"/>
  <c r="F21" i="2"/>
  <c r="D20" i="2"/>
  <c r="B19" i="2"/>
  <c r="J16" i="2"/>
  <c r="I15" i="2"/>
  <c r="A15" i="2" s="1"/>
  <c r="G14" i="2"/>
  <c r="F13" i="2"/>
  <c r="D12" i="2"/>
  <c r="B11" i="2"/>
  <c r="K8" i="2"/>
  <c r="J7" i="2"/>
  <c r="I6" i="2"/>
  <c r="A6" i="2" s="1"/>
  <c r="H5" i="2"/>
  <c r="G4" i="2"/>
  <c r="I86" i="2"/>
  <c r="A86" i="2" s="1"/>
  <c r="B51" i="2"/>
  <c r="E123" i="2"/>
  <c r="I121" i="2"/>
  <c r="A121" i="2" s="1"/>
  <c r="K119" i="2"/>
  <c r="E118" i="2"/>
  <c r="E116" i="2"/>
  <c r="I114" i="2"/>
  <c r="A114" i="2" s="1"/>
  <c r="I112" i="2"/>
  <c r="A112" i="2" s="1"/>
  <c r="C111" i="2"/>
  <c r="E109" i="2"/>
  <c r="K107" i="2"/>
  <c r="K105" i="2"/>
  <c r="E104" i="2"/>
  <c r="E102" i="2"/>
  <c r="J100" i="2"/>
  <c r="K98" i="2"/>
  <c r="F97" i="2"/>
  <c r="H95" i="2"/>
  <c r="B94" i="2"/>
  <c r="B92" i="2"/>
  <c r="F90" i="2"/>
  <c r="H88" i="2"/>
  <c r="C87" i="2"/>
  <c r="E85" i="2"/>
  <c r="K83" i="2"/>
  <c r="K81" i="2"/>
  <c r="E80" i="2"/>
  <c r="E78" i="2"/>
  <c r="K76" i="2"/>
  <c r="B75" i="2"/>
  <c r="H73" i="2"/>
  <c r="J71" i="2"/>
  <c r="D70" i="2"/>
  <c r="D68" i="2"/>
  <c r="H66" i="2"/>
  <c r="J64" i="2"/>
  <c r="E63" i="2"/>
  <c r="G61" i="2"/>
  <c r="B60" i="2"/>
  <c r="C58" i="2"/>
  <c r="G56" i="2"/>
  <c r="G54" i="2"/>
  <c r="B53" i="2"/>
  <c r="D51" i="2"/>
  <c r="J49" i="2"/>
  <c r="F46" i="2"/>
  <c r="F44" i="2"/>
  <c r="J42" i="2"/>
  <c r="H39" i="2"/>
  <c r="D38" i="2"/>
  <c r="H36" i="2"/>
  <c r="D35" i="2"/>
  <c r="J33" i="2"/>
  <c r="F32" i="2"/>
  <c r="C31" i="2"/>
  <c r="I29" i="2"/>
  <c r="A29" i="2" s="1"/>
  <c r="F28" i="2"/>
  <c r="C27" i="2"/>
  <c r="B26" i="2"/>
  <c r="K24" i="2"/>
  <c r="I23" i="2"/>
  <c r="A23" i="2" s="1"/>
  <c r="G22" i="2"/>
  <c r="E21" i="2"/>
  <c r="C20" i="2"/>
  <c r="K17" i="2"/>
  <c r="I16" i="2"/>
  <c r="A16" i="2" s="1"/>
  <c r="H15" i="2"/>
  <c r="F14" i="2"/>
  <c r="E13" i="2"/>
  <c r="C12" i="2"/>
  <c r="K9" i="2"/>
  <c r="J8" i="2"/>
  <c r="I7" i="2"/>
  <c r="A7" i="2" s="1"/>
  <c r="H6" i="2"/>
  <c r="G5" i="2"/>
  <c r="F4" i="2"/>
  <c r="G36" i="2"/>
  <c r="E32" i="2"/>
  <c r="H29" i="2"/>
  <c r="E28" i="2"/>
  <c r="J24" i="2"/>
  <c r="F22" i="2"/>
  <c r="B20" i="2"/>
  <c r="J17" i="2"/>
  <c r="G15" i="2"/>
  <c r="E14" i="2"/>
  <c r="B12" i="2"/>
  <c r="J9" i="2"/>
  <c r="H7" i="2"/>
  <c r="F5" i="2"/>
  <c r="C123" i="2"/>
  <c r="D121" i="2"/>
  <c r="I119" i="2"/>
  <c r="A119" i="2" s="1"/>
  <c r="J117" i="2"/>
  <c r="C116" i="2"/>
  <c r="D114" i="2"/>
  <c r="G112" i="2"/>
  <c r="I110" i="2"/>
  <c r="A110" i="2" s="1"/>
  <c r="C109" i="2"/>
  <c r="F107" i="2"/>
  <c r="I105" i="2"/>
  <c r="A105" i="2" s="1"/>
  <c r="J103" i="2"/>
  <c r="C102" i="2"/>
  <c r="I98" i="2"/>
  <c r="A98" i="2" s="1"/>
  <c r="G93" i="2"/>
  <c r="C85" i="2"/>
  <c r="I81" i="2"/>
  <c r="A81" i="2" s="1"/>
  <c r="C73" i="2"/>
  <c r="B68" i="2"/>
  <c r="H64" i="2"/>
  <c r="E61" i="2"/>
  <c r="B56" i="2"/>
  <c r="H52" i="2"/>
  <c r="J47" i="2"/>
  <c r="E42" i="2"/>
  <c r="K37" i="2"/>
  <c r="D32" i="2"/>
  <c r="D123" i="2"/>
  <c r="H121" i="2"/>
  <c r="J119" i="2"/>
  <c r="D118" i="2"/>
  <c r="D116" i="2"/>
  <c r="H114" i="2"/>
  <c r="H112" i="2"/>
  <c r="B111" i="2"/>
  <c r="D109" i="2"/>
  <c r="J107" i="2"/>
  <c r="J105" i="2"/>
  <c r="D104" i="2"/>
  <c r="D102" i="2"/>
  <c r="I100" i="2"/>
  <c r="A100" i="2" s="1"/>
  <c r="J98" i="2"/>
  <c r="E97" i="2"/>
  <c r="G95" i="2"/>
  <c r="K93" i="2"/>
  <c r="K91" i="2"/>
  <c r="E90" i="2"/>
  <c r="G88" i="2"/>
  <c r="B87" i="2"/>
  <c r="D85" i="2"/>
  <c r="J83" i="2"/>
  <c r="J81" i="2"/>
  <c r="D80" i="2"/>
  <c r="D78" i="2"/>
  <c r="J76" i="2"/>
  <c r="G73" i="2"/>
  <c r="I71" i="2"/>
  <c r="A71" i="2" s="1"/>
  <c r="C70" i="2"/>
  <c r="C68" i="2"/>
  <c r="G66" i="2"/>
  <c r="I64" i="2"/>
  <c r="A64" i="2" s="1"/>
  <c r="D63" i="2"/>
  <c r="F61" i="2"/>
  <c r="B58" i="2"/>
  <c r="F56" i="2"/>
  <c r="F54" i="2"/>
  <c r="C51" i="2"/>
  <c r="I49" i="2"/>
  <c r="A49" i="2" s="1"/>
  <c r="K47" i="2"/>
  <c r="E46" i="2"/>
  <c r="E44" i="2"/>
  <c r="I42" i="2"/>
  <c r="A42" i="2" s="1"/>
  <c r="K40" i="2"/>
  <c r="G39" i="2"/>
  <c r="C35" i="2"/>
  <c r="I33" i="2"/>
  <c r="A33" i="2" s="1"/>
  <c r="K30" i="2"/>
  <c r="B27" i="2"/>
  <c r="H23" i="2"/>
  <c r="D21" i="2"/>
  <c r="K18" i="2"/>
  <c r="H16" i="2"/>
  <c r="D13" i="2"/>
  <c r="K10" i="2"/>
  <c r="I8" i="2"/>
  <c r="A8" i="2" s="1"/>
  <c r="G6" i="2"/>
  <c r="E4" i="2"/>
  <c r="E100" i="2"/>
  <c r="F95" i="2"/>
  <c r="J91" i="2"/>
  <c r="F88" i="2"/>
  <c r="F83" i="2"/>
  <c r="J79" i="2"/>
  <c r="C78" i="2"/>
  <c r="F76" i="2"/>
  <c r="K74" i="2"/>
  <c r="I69" i="2"/>
  <c r="A69" i="2" s="1"/>
  <c r="C66" i="2"/>
  <c r="K62" i="2"/>
  <c r="H59" i="2"/>
  <c r="K57" i="2"/>
  <c r="E54" i="2"/>
  <c r="E49" i="2"/>
  <c r="K45" i="2"/>
  <c r="D44" i="2"/>
  <c r="F39" i="2"/>
  <c r="B35" i="2"/>
  <c r="H33" i="2"/>
  <c r="B123" i="2"/>
  <c r="H120" i="2"/>
  <c r="E117" i="2"/>
  <c r="K113" i="2"/>
  <c r="F111" i="2"/>
  <c r="E108" i="2"/>
  <c r="F105" i="2"/>
  <c r="B102" i="2"/>
  <c r="H99" i="2"/>
  <c r="G96" i="2"/>
  <c r="D93" i="2"/>
  <c r="I90" i="2"/>
  <c r="A90" i="2" s="1"/>
  <c r="H87" i="2"/>
  <c r="K84" i="2"/>
  <c r="H81" i="2"/>
  <c r="C79" i="2"/>
  <c r="K72" i="2"/>
  <c r="G70" i="2"/>
  <c r="C67" i="2"/>
  <c r="E64" i="2"/>
  <c r="D61" i="2"/>
  <c r="K58" i="2"/>
  <c r="G55" i="2"/>
  <c r="E52" i="2"/>
  <c r="B50" i="2"/>
  <c r="K46" i="2"/>
  <c r="K43" i="2"/>
  <c r="I40" i="2"/>
  <c r="A40" i="2" s="1"/>
  <c r="H38" i="2"/>
  <c r="C36" i="2"/>
  <c r="G33" i="2"/>
  <c r="G31" i="2"/>
  <c r="E29" i="2"/>
  <c r="G27" i="2"/>
  <c r="I25" i="2"/>
  <c r="A25" i="2" s="1"/>
  <c r="C24" i="2"/>
  <c r="C22" i="2"/>
  <c r="G20" i="2"/>
  <c r="H18" i="2"/>
  <c r="B17" i="2"/>
  <c r="D15" i="2"/>
  <c r="I13" i="2"/>
  <c r="A13" i="2" s="1"/>
  <c r="I11" i="2"/>
  <c r="A11" i="2" s="1"/>
  <c r="D10" i="2"/>
  <c r="F8" i="2"/>
  <c r="C5" i="2"/>
  <c r="D54" i="2"/>
  <c r="K32" i="2"/>
  <c r="J26" i="2"/>
  <c r="J19" i="2"/>
  <c r="K12" i="2"/>
  <c r="D6" i="2"/>
  <c r="F112" i="2"/>
  <c r="I24" i="2"/>
  <c r="A24" i="2" s="1"/>
  <c r="D4" i="2"/>
  <c r="B83" i="2"/>
  <c r="K122" i="2"/>
  <c r="G120" i="2"/>
  <c r="D117" i="2"/>
  <c r="J113" i="2"/>
  <c r="G110" i="2"/>
  <c r="D108" i="2"/>
  <c r="B105" i="2"/>
  <c r="G99" i="2"/>
  <c r="F96" i="2"/>
  <c r="C93" i="2"/>
  <c r="J89" i="2"/>
  <c r="G87" i="2"/>
  <c r="G84" i="2"/>
  <c r="G81" i="2"/>
  <c r="B79" i="2"/>
  <c r="K75" i="2"/>
  <c r="J72" i="2"/>
  <c r="G69" i="2"/>
  <c r="B67" i="2"/>
  <c r="C61" i="2"/>
  <c r="J58" i="2"/>
  <c r="F55" i="2"/>
  <c r="D52" i="2"/>
  <c r="C49" i="2"/>
  <c r="J46" i="2"/>
  <c r="G43" i="2"/>
  <c r="H40" i="2"/>
  <c r="G38" i="2"/>
  <c r="B36" i="2"/>
  <c r="F33" i="2"/>
  <c r="F31" i="2"/>
  <c r="D29" i="2"/>
  <c r="F27" i="2"/>
  <c r="H25" i="2"/>
  <c r="B24" i="2"/>
  <c r="B22" i="2"/>
  <c r="F20" i="2"/>
  <c r="G18" i="2"/>
  <c r="C15" i="2"/>
  <c r="H13" i="2"/>
  <c r="H11" i="2"/>
  <c r="C10" i="2"/>
  <c r="E8" i="2"/>
  <c r="K6" i="2"/>
  <c r="B5" i="2"/>
  <c r="B40" i="2"/>
  <c r="I21" i="2"/>
  <c r="A21" i="2" s="1"/>
  <c r="J14" i="2"/>
  <c r="B8" i="2"/>
  <c r="B110" i="2"/>
  <c r="I48" i="2"/>
  <c r="A48" i="2" s="1"/>
  <c r="D28" i="2"/>
  <c r="J10" i="2"/>
  <c r="D89" i="2"/>
  <c r="K68" i="2"/>
  <c r="E45" i="2"/>
  <c r="J122" i="2"/>
  <c r="H119" i="2"/>
  <c r="C117" i="2"/>
  <c r="I113" i="2"/>
  <c r="A113" i="2" s="1"/>
  <c r="F110" i="2"/>
  <c r="C108" i="2"/>
  <c r="J104" i="2"/>
  <c r="K101" i="2"/>
  <c r="H98" i="2"/>
  <c r="E96" i="2"/>
  <c r="B93" i="2"/>
  <c r="I89" i="2"/>
  <c r="A89" i="2" s="1"/>
  <c r="F87" i="2"/>
  <c r="E84" i="2"/>
  <c r="F81" i="2"/>
  <c r="B78" i="2"/>
  <c r="J75" i="2"/>
  <c r="I72" i="2"/>
  <c r="A72" i="2" s="1"/>
  <c r="F69" i="2"/>
  <c r="K66" i="2"/>
  <c r="J63" i="2"/>
  <c r="B61" i="2"/>
  <c r="J57" i="2"/>
  <c r="E55" i="2"/>
  <c r="C52" i="2"/>
  <c r="B49" i="2"/>
  <c r="I46" i="2"/>
  <c r="A46" i="2" s="1"/>
  <c r="E43" i="2"/>
  <c r="G40" i="2"/>
  <c r="J37" i="2"/>
  <c r="K35" i="2"/>
  <c r="C33" i="2"/>
  <c r="J30" i="2"/>
  <c r="C29" i="2"/>
  <c r="G25" i="2"/>
  <c r="G23" i="2"/>
  <c r="K21" i="2"/>
  <c r="F18" i="2"/>
  <c r="G16" i="2"/>
  <c r="B15" i="2"/>
  <c r="C13" i="2"/>
  <c r="G11" i="2"/>
  <c r="I9" i="2"/>
  <c r="A9" i="2" s="1"/>
  <c r="D8" i="2"/>
  <c r="F6" i="2"/>
  <c r="G60" i="2"/>
  <c r="G35" i="2"/>
  <c r="E23" i="2"/>
  <c r="E16" i="2"/>
  <c r="E11" i="2"/>
  <c r="J4" i="2"/>
  <c r="G103" i="2"/>
  <c r="E60" i="2"/>
  <c r="J34" i="2"/>
  <c r="D14" i="2"/>
  <c r="C100" i="2"/>
  <c r="F59" i="2"/>
  <c r="I34" i="2"/>
  <c r="A34" i="2" s="1"/>
  <c r="F122" i="2"/>
  <c r="G119" i="2"/>
  <c r="B117" i="2"/>
  <c r="H113" i="2"/>
  <c r="E110" i="2"/>
  <c r="D107" i="2"/>
  <c r="I104" i="2"/>
  <c r="A104" i="2" s="1"/>
  <c r="G101" i="2"/>
  <c r="G98" i="2"/>
  <c r="D96" i="2"/>
  <c r="K92" i="2"/>
  <c r="H89" i="2"/>
  <c r="G86" i="2"/>
  <c r="D84" i="2"/>
  <c r="B81" i="2"/>
  <c r="I75" i="2"/>
  <c r="A75" i="2" s="1"/>
  <c r="H72" i="2"/>
  <c r="E69" i="2"/>
  <c r="I63" i="2"/>
  <c r="A63" i="2" s="1"/>
  <c r="I60" i="2"/>
  <c r="A60" i="2" s="1"/>
  <c r="I57" i="2"/>
  <c r="A57" i="2" s="1"/>
  <c r="D55" i="2"/>
  <c r="B52" i="2"/>
  <c r="I45" i="2"/>
  <c r="A45" i="2" s="1"/>
  <c r="D43" i="2"/>
  <c r="C40" i="2"/>
  <c r="I37" i="2"/>
  <c r="A37" i="2" s="1"/>
  <c r="J35" i="2"/>
  <c r="B33" i="2"/>
  <c r="I30" i="2"/>
  <c r="A30" i="2" s="1"/>
  <c r="B29" i="2"/>
  <c r="K26" i="2"/>
  <c r="F25" i="2"/>
  <c r="F23" i="2"/>
  <c r="J21" i="2"/>
  <c r="K19" i="2"/>
  <c r="E18" i="2"/>
  <c r="F16" i="2"/>
  <c r="K14" i="2"/>
  <c r="B13" i="2"/>
  <c r="F11" i="2"/>
  <c r="H9" i="2"/>
  <c r="C8" i="2"/>
  <c r="E6" i="2"/>
  <c r="K4" i="2"/>
  <c r="D122" i="2"/>
  <c r="F119" i="2"/>
  <c r="B116" i="2"/>
  <c r="G113" i="2"/>
  <c r="D110" i="2"/>
  <c r="C107" i="2"/>
  <c r="H104" i="2"/>
  <c r="E101" i="2"/>
  <c r="F98" i="2"/>
  <c r="E95" i="2"/>
  <c r="J92" i="2"/>
  <c r="G89" i="2"/>
  <c r="F86" i="2"/>
  <c r="C84" i="2"/>
  <c r="J80" i="2"/>
  <c r="K77" i="2"/>
  <c r="J74" i="2"/>
  <c r="G72" i="2"/>
  <c r="D69" i="2"/>
  <c r="K65" i="2"/>
  <c r="H63" i="2"/>
  <c r="H57" i="2"/>
  <c r="K48" i="2"/>
  <c r="H45" i="2"/>
  <c r="C43" i="2"/>
  <c r="H37" i="2"/>
  <c r="H30" i="2"/>
  <c r="E25" i="2"/>
  <c r="D18" i="2"/>
  <c r="G9" i="2"/>
  <c r="C101" i="2"/>
  <c r="H74" i="2"/>
  <c r="B57" i="2"/>
  <c r="B42" i="2"/>
  <c r="I32" i="2"/>
  <c r="A32" i="2" s="1"/>
  <c r="C23" i="2"/>
  <c r="H19" i="2"/>
  <c r="C16" i="2"/>
  <c r="B6" i="2"/>
  <c r="I118" i="2"/>
  <c r="A118" i="2" s="1"/>
  <c r="F115" i="2"/>
  <c r="E112" i="2"/>
  <c r="J106" i="2"/>
  <c r="F103" i="2"/>
  <c r="I94" i="2"/>
  <c r="A94" i="2" s="1"/>
  <c r="H91" i="2"/>
  <c r="C86" i="2"/>
  <c r="D77" i="2"/>
  <c r="F71" i="2"/>
  <c r="G62" i="2"/>
  <c r="I53" i="2"/>
  <c r="A53" i="2" s="1"/>
  <c r="H48" i="2"/>
  <c r="D37" i="2"/>
  <c r="E30" i="2"/>
  <c r="G26" i="2"/>
  <c r="C122" i="2"/>
  <c r="B119" i="2"/>
  <c r="K115" i="2"/>
  <c r="F113" i="2"/>
  <c r="C110" i="2"/>
  <c r="B107" i="2"/>
  <c r="H103" i="2"/>
  <c r="D101" i="2"/>
  <c r="B98" i="2"/>
  <c r="D95" i="2"/>
  <c r="I92" i="2"/>
  <c r="A92" i="2" s="1"/>
  <c r="F89" i="2"/>
  <c r="E86" i="2"/>
  <c r="D83" i="2"/>
  <c r="I80" i="2"/>
  <c r="A80" i="2" s="1"/>
  <c r="G77" i="2"/>
  <c r="I74" i="2"/>
  <c r="A74" i="2" s="1"/>
  <c r="F72" i="2"/>
  <c r="C69" i="2"/>
  <c r="J65" i="2"/>
  <c r="I62" i="2"/>
  <c r="A62" i="2" s="1"/>
  <c r="F60" i="2"/>
  <c r="D57" i="2"/>
  <c r="C54" i="2"/>
  <c r="K51" i="2"/>
  <c r="J48" i="2"/>
  <c r="G45" i="2"/>
  <c r="C42" i="2"/>
  <c r="G37" i="2"/>
  <c r="K34" i="2"/>
  <c r="J32" i="2"/>
  <c r="G30" i="2"/>
  <c r="I28" i="2"/>
  <c r="A28" i="2" s="1"/>
  <c r="I26" i="2"/>
  <c r="A26" i="2" s="1"/>
  <c r="D25" i="2"/>
  <c r="D23" i="2"/>
  <c r="H21" i="2"/>
  <c r="I19" i="2"/>
  <c r="A19" i="2" s="1"/>
  <c r="C18" i="2"/>
  <c r="D16" i="2"/>
  <c r="I14" i="2"/>
  <c r="A14" i="2" s="1"/>
  <c r="J12" i="2"/>
  <c r="D11" i="2"/>
  <c r="F9" i="2"/>
  <c r="C6" i="2"/>
  <c r="I4" i="2"/>
  <c r="A4" i="2" s="1"/>
  <c r="B122" i="2"/>
  <c r="J118" i="2"/>
  <c r="J115" i="2"/>
  <c r="K106" i="2"/>
  <c r="K97" i="2"/>
  <c r="C95" i="2"/>
  <c r="I91" i="2"/>
  <c r="A91" i="2" s="1"/>
  <c r="E89" i="2"/>
  <c r="D86" i="2"/>
  <c r="C83" i="2"/>
  <c r="H80" i="2"/>
  <c r="E77" i="2"/>
  <c r="G71" i="2"/>
  <c r="B69" i="2"/>
  <c r="I65" i="2"/>
  <c r="A65" i="2" s="1"/>
  <c r="H62" i="2"/>
  <c r="B54" i="2"/>
  <c r="F45" i="2"/>
  <c r="K39" i="2"/>
  <c r="F37" i="2"/>
  <c r="F30" i="2"/>
  <c r="H26" i="2"/>
  <c r="C21" i="2"/>
  <c r="I17" i="2"/>
  <c r="A17" i="2" s="1"/>
  <c r="I12" i="2"/>
  <c r="A12" i="2" s="1"/>
  <c r="E9" i="2"/>
  <c r="G7" i="2"/>
  <c r="B121" i="2"/>
  <c r="J97" i="2"/>
  <c r="H79" i="2"/>
  <c r="D74" i="2"/>
  <c r="H65" i="2"/>
  <c r="K56" i="2"/>
  <c r="K50" i="2"/>
  <c r="C28" i="2"/>
  <c r="G24" i="2"/>
  <c r="I96" i="2"/>
  <c r="A96" i="2" s="1"/>
  <c r="J20" i="2"/>
  <c r="D88" i="2"/>
  <c r="J13" i="2"/>
  <c r="F64" i="2"/>
  <c r="J31" i="2"/>
  <c r="E7" i="2"/>
  <c r="J11" i="2"/>
  <c r="K15" i="2"/>
  <c r="G19" i="2"/>
  <c r="E24" i="2"/>
  <c r="F29" i="2"/>
  <c r="D36" i="2"/>
  <c r="K41" i="2"/>
  <c r="J50" i="2"/>
  <c r="E59" i="2"/>
  <c r="K67" i="2"/>
  <c r="C77" i="2"/>
  <c r="B86" i="2"/>
  <c r="G94" i="2"/>
  <c r="E103" i="2"/>
  <c r="D112" i="2"/>
  <c r="B37" i="2"/>
  <c r="E37" i="2"/>
  <c r="C17" i="2"/>
  <c r="C19" i="2"/>
</calcChain>
</file>

<file path=xl/sharedStrings.xml><?xml version="1.0" encoding="utf-8"?>
<sst xmlns="http://schemas.openxmlformats.org/spreadsheetml/2006/main" count="26" uniqueCount="14">
  <si>
    <t>INTRODUCIR PALOMO Y PUNTOS · FILAS 1 A 120</t>
  </si>
  <si>
    <t>Nº</t>
  </si>
  <si>
    <t>PALOMO</t>
  </si>
  <si>
    <t>PRUEBA 1</t>
  </si>
  <si>
    <t>PRUEBA 2</t>
  </si>
  <si>
    <t>PRUEBA 3</t>
  </si>
  <si>
    <t>PRUEBA 4</t>
  </si>
  <si>
    <t>PRUEBA 5</t>
  </si>
  <si>
    <t>PRUEBA 6</t>
  </si>
  <si>
    <t>TOTAL</t>
  </si>
  <si>
    <t>PLUMA</t>
  </si>
  <si>
    <t>PROPIETARIO</t>
  </si>
  <si>
    <t>CLASIFICACIÓN AUTOMÁTICA · MAYOR TOTAL PRIMERO</t>
  </si>
  <si>
    <t xml:space="preserve">CONCURSO LORQUÍ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</si>
</sst>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8ED97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showGridLines="0" workbookViewId="0">
      <pane ySplit="3" topLeftCell="A18" activePane="bottomLeft" state="frozen"/>
      <selection pane="bottomLeft" sqref="A1:K1"/>
    </sheetView>
  </sheetViews>
  <sheetFormatPr baseColWidth="10" defaultColWidth="8.88671875" defaultRowHeight="14.4" x14ac:dyDescent="0.3"/>
  <cols>
    <col min="1" max="1" width="7" customWidth="1"/>
    <col min="2" max="2" width="27" customWidth="1"/>
    <col min="3" max="8" width="12" customWidth="1"/>
    <col min="9" max="9" width="11" customWidth="1"/>
    <col min="10" max="10" width="18" customWidth="1"/>
    <col min="11" max="11" width="24" customWidth="1"/>
    <col min="12" max="12" width="13" hidden="1" customWidth="1"/>
  </cols>
  <sheetData>
    <row r="1" spans="1:12" ht="23.4" x14ac:dyDescent="0.45">
      <c r="A1" s="8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x14ac:dyDescent="0.3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2" x14ac:dyDescent="0.3">
      <c r="A4" s="2">
        <v>1</v>
      </c>
      <c r="B4" s="3"/>
      <c r="C4" s="2"/>
      <c r="D4" s="2"/>
      <c r="E4" s="2"/>
      <c r="F4" s="2"/>
      <c r="G4" s="2"/>
      <c r="H4" s="2"/>
      <c r="I4" s="2" t="str">
        <f t="shared" ref="I4:I35" si="0">IF(COUNTA(C4:H4)=0,"",SUM(C4:H4))</f>
        <v/>
      </c>
      <c r="J4" s="3"/>
      <c r="K4" s="3"/>
      <c r="L4" t="str">
        <f t="shared" ref="L4:L35" si="1">IF(I4="","",I4*1000+(124-ROW()))</f>
        <v/>
      </c>
    </row>
    <row r="5" spans="1:12" x14ac:dyDescent="0.3">
      <c r="A5" s="4">
        <v>2</v>
      </c>
      <c r="B5" s="5"/>
      <c r="C5" s="4"/>
      <c r="D5" s="4"/>
      <c r="E5" s="4"/>
      <c r="F5" s="4"/>
      <c r="G5" s="4"/>
      <c r="H5" s="4"/>
      <c r="I5" s="4" t="str">
        <f t="shared" si="0"/>
        <v/>
      </c>
      <c r="J5" s="5"/>
      <c r="K5" s="5"/>
      <c r="L5" t="str">
        <f t="shared" si="1"/>
        <v/>
      </c>
    </row>
    <row r="6" spans="1:12" x14ac:dyDescent="0.3">
      <c r="A6" s="2">
        <v>3</v>
      </c>
      <c r="B6" s="3"/>
      <c r="C6" s="2"/>
      <c r="D6" s="2"/>
      <c r="E6" s="2"/>
      <c r="F6" s="2"/>
      <c r="G6" s="2"/>
      <c r="H6" s="2"/>
      <c r="I6" s="2" t="str">
        <f t="shared" si="0"/>
        <v/>
      </c>
      <c r="J6" s="3"/>
      <c r="K6" s="3"/>
      <c r="L6" t="str">
        <f t="shared" si="1"/>
        <v/>
      </c>
    </row>
    <row r="7" spans="1:12" x14ac:dyDescent="0.3">
      <c r="A7" s="4">
        <v>4</v>
      </c>
      <c r="B7" s="5"/>
      <c r="C7" s="4"/>
      <c r="D7" s="4"/>
      <c r="E7" s="4"/>
      <c r="F7" s="4"/>
      <c r="G7" s="4"/>
      <c r="H7" s="4"/>
      <c r="I7" s="4" t="str">
        <f t="shared" si="0"/>
        <v/>
      </c>
      <c r="J7" s="5"/>
      <c r="K7" s="5"/>
      <c r="L7" t="str">
        <f t="shared" si="1"/>
        <v/>
      </c>
    </row>
    <row r="8" spans="1:12" x14ac:dyDescent="0.3">
      <c r="A8" s="2">
        <v>5</v>
      </c>
      <c r="B8" s="3"/>
      <c r="C8" s="2"/>
      <c r="D8" s="2"/>
      <c r="E8" s="2"/>
      <c r="F8" s="2"/>
      <c r="G8" s="2"/>
      <c r="H8" s="2"/>
      <c r="I8" s="2" t="str">
        <f t="shared" si="0"/>
        <v/>
      </c>
      <c r="J8" s="3"/>
      <c r="K8" s="3"/>
      <c r="L8" t="str">
        <f t="shared" si="1"/>
        <v/>
      </c>
    </row>
    <row r="9" spans="1:12" x14ac:dyDescent="0.3">
      <c r="A9" s="4">
        <v>6</v>
      </c>
      <c r="B9" s="5"/>
      <c r="C9" s="4"/>
      <c r="D9" s="4"/>
      <c r="E9" s="4"/>
      <c r="F9" s="4"/>
      <c r="G9" s="4"/>
      <c r="H9" s="4"/>
      <c r="I9" s="4" t="str">
        <f t="shared" si="0"/>
        <v/>
      </c>
      <c r="J9" s="5"/>
      <c r="K9" s="5"/>
      <c r="L9" t="str">
        <f t="shared" si="1"/>
        <v/>
      </c>
    </row>
    <row r="10" spans="1:12" x14ac:dyDescent="0.3">
      <c r="A10" s="2">
        <v>7</v>
      </c>
      <c r="B10" s="3"/>
      <c r="C10" s="2"/>
      <c r="D10" s="2"/>
      <c r="E10" s="2"/>
      <c r="F10" s="2"/>
      <c r="G10" s="2"/>
      <c r="H10" s="2"/>
      <c r="I10" s="2" t="str">
        <f t="shared" si="0"/>
        <v/>
      </c>
      <c r="J10" s="3"/>
      <c r="K10" s="3"/>
      <c r="L10" t="str">
        <f t="shared" si="1"/>
        <v/>
      </c>
    </row>
    <row r="11" spans="1:12" x14ac:dyDescent="0.3">
      <c r="A11" s="4">
        <v>8</v>
      </c>
      <c r="B11" s="5"/>
      <c r="C11" s="4"/>
      <c r="D11" s="4"/>
      <c r="E11" s="4"/>
      <c r="F11" s="4"/>
      <c r="G11" s="4"/>
      <c r="H11" s="4"/>
      <c r="I11" s="4" t="str">
        <f t="shared" si="0"/>
        <v/>
      </c>
      <c r="J11" s="5"/>
      <c r="K11" s="5"/>
      <c r="L11" t="str">
        <f t="shared" si="1"/>
        <v/>
      </c>
    </row>
    <row r="12" spans="1:12" x14ac:dyDescent="0.3">
      <c r="A12" s="2">
        <v>9</v>
      </c>
      <c r="B12" s="3"/>
      <c r="C12" s="2"/>
      <c r="D12" s="2"/>
      <c r="E12" s="2"/>
      <c r="F12" s="2"/>
      <c r="G12" s="2"/>
      <c r="H12" s="2"/>
      <c r="I12" s="2" t="str">
        <f t="shared" si="0"/>
        <v/>
      </c>
      <c r="J12" s="3"/>
      <c r="K12" s="3"/>
      <c r="L12" t="str">
        <f t="shared" si="1"/>
        <v/>
      </c>
    </row>
    <row r="13" spans="1:12" x14ac:dyDescent="0.3">
      <c r="A13" s="4">
        <v>10</v>
      </c>
      <c r="B13" s="5"/>
      <c r="C13" s="4"/>
      <c r="D13" s="4"/>
      <c r="E13" s="4"/>
      <c r="F13" s="4"/>
      <c r="G13" s="4"/>
      <c r="H13" s="4"/>
      <c r="I13" s="4" t="str">
        <f t="shared" si="0"/>
        <v/>
      </c>
      <c r="J13" s="5"/>
      <c r="K13" s="5"/>
      <c r="L13" t="str">
        <f t="shared" si="1"/>
        <v/>
      </c>
    </row>
    <row r="14" spans="1:12" x14ac:dyDescent="0.3">
      <c r="A14" s="2">
        <v>11</v>
      </c>
      <c r="B14" s="3"/>
      <c r="C14" s="2"/>
      <c r="D14" s="2"/>
      <c r="E14" s="2"/>
      <c r="F14" s="2"/>
      <c r="G14" s="2"/>
      <c r="H14" s="2"/>
      <c r="I14" s="2" t="str">
        <f t="shared" si="0"/>
        <v/>
      </c>
      <c r="J14" s="3"/>
      <c r="K14" s="3"/>
      <c r="L14" t="str">
        <f t="shared" si="1"/>
        <v/>
      </c>
    </row>
    <row r="15" spans="1:12" x14ac:dyDescent="0.3">
      <c r="A15" s="4">
        <v>12</v>
      </c>
      <c r="B15" s="5"/>
      <c r="C15" s="4"/>
      <c r="D15" s="4"/>
      <c r="E15" s="4"/>
      <c r="F15" s="4"/>
      <c r="G15" s="4"/>
      <c r="H15" s="4"/>
      <c r="I15" s="4" t="str">
        <f t="shared" si="0"/>
        <v/>
      </c>
      <c r="J15" s="5"/>
      <c r="K15" s="5"/>
      <c r="L15" t="str">
        <f t="shared" si="1"/>
        <v/>
      </c>
    </row>
    <row r="16" spans="1:12" x14ac:dyDescent="0.3">
      <c r="A16" s="2">
        <v>13</v>
      </c>
      <c r="B16" s="3"/>
      <c r="C16" s="2"/>
      <c r="D16" s="2"/>
      <c r="E16" s="2"/>
      <c r="F16" s="2"/>
      <c r="G16" s="2"/>
      <c r="H16" s="2"/>
      <c r="I16" s="2" t="str">
        <f t="shared" si="0"/>
        <v/>
      </c>
      <c r="J16" s="3"/>
      <c r="K16" s="3"/>
      <c r="L16" t="str">
        <f t="shared" si="1"/>
        <v/>
      </c>
    </row>
    <row r="17" spans="1:12" x14ac:dyDescent="0.3">
      <c r="A17" s="4">
        <v>14</v>
      </c>
      <c r="B17" s="5"/>
      <c r="C17" s="4"/>
      <c r="D17" s="4"/>
      <c r="E17" s="4"/>
      <c r="F17" s="4"/>
      <c r="G17" s="4"/>
      <c r="H17" s="4"/>
      <c r="I17" s="4" t="str">
        <f t="shared" si="0"/>
        <v/>
      </c>
      <c r="J17" s="5"/>
      <c r="K17" s="5"/>
      <c r="L17" t="str">
        <f t="shared" si="1"/>
        <v/>
      </c>
    </row>
    <row r="18" spans="1:12" x14ac:dyDescent="0.3">
      <c r="A18" s="2">
        <v>15</v>
      </c>
      <c r="B18" s="3"/>
      <c r="C18" s="2"/>
      <c r="D18" s="2"/>
      <c r="E18" s="2"/>
      <c r="F18" s="2"/>
      <c r="G18" s="2"/>
      <c r="H18" s="2"/>
      <c r="I18" s="2" t="str">
        <f t="shared" si="0"/>
        <v/>
      </c>
      <c r="J18" s="3"/>
      <c r="K18" s="3"/>
      <c r="L18" t="str">
        <f t="shared" si="1"/>
        <v/>
      </c>
    </row>
    <row r="19" spans="1:12" x14ac:dyDescent="0.3">
      <c r="A19" s="4">
        <v>16</v>
      </c>
      <c r="B19" s="5"/>
      <c r="C19" s="4"/>
      <c r="D19" s="4"/>
      <c r="E19" s="4"/>
      <c r="F19" s="4"/>
      <c r="G19" s="4"/>
      <c r="H19" s="4"/>
      <c r="I19" s="4" t="str">
        <f t="shared" si="0"/>
        <v/>
      </c>
      <c r="J19" s="5"/>
      <c r="K19" s="5"/>
      <c r="L19" t="str">
        <f t="shared" si="1"/>
        <v/>
      </c>
    </row>
    <row r="20" spans="1:12" x14ac:dyDescent="0.3">
      <c r="A20" s="2">
        <v>17</v>
      </c>
      <c r="B20" s="3"/>
      <c r="C20" s="2"/>
      <c r="D20" s="2"/>
      <c r="E20" s="2"/>
      <c r="F20" s="2"/>
      <c r="G20" s="2"/>
      <c r="H20" s="2"/>
      <c r="I20" s="2" t="str">
        <f t="shared" si="0"/>
        <v/>
      </c>
      <c r="J20" s="3"/>
      <c r="K20" s="3"/>
      <c r="L20" t="str">
        <f t="shared" si="1"/>
        <v/>
      </c>
    </row>
    <row r="21" spans="1:12" x14ac:dyDescent="0.3">
      <c r="A21" s="4">
        <v>18</v>
      </c>
      <c r="B21" s="5"/>
      <c r="C21" s="4"/>
      <c r="D21" s="4"/>
      <c r="E21" s="4"/>
      <c r="F21" s="4"/>
      <c r="G21" s="4"/>
      <c r="H21" s="4"/>
      <c r="I21" s="4" t="str">
        <f t="shared" si="0"/>
        <v/>
      </c>
      <c r="J21" s="5"/>
      <c r="K21" s="5"/>
      <c r="L21" t="str">
        <f t="shared" si="1"/>
        <v/>
      </c>
    </row>
    <row r="22" spans="1:12" x14ac:dyDescent="0.3">
      <c r="A22" s="2">
        <v>19</v>
      </c>
      <c r="B22" s="3"/>
      <c r="C22" s="2"/>
      <c r="D22" s="2"/>
      <c r="E22" s="2"/>
      <c r="F22" s="2"/>
      <c r="G22" s="2"/>
      <c r="H22" s="2"/>
      <c r="I22" s="2" t="str">
        <f t="shared" si="0"/>
        <v/>
      </c>
      <c r="J22" s="3"/>
      <c r="K22" s="3"/>
      <c r="L22" t="str">
        <f t="shared" si="1"/>
        <v/>
      </c>
    </row>
    <row r="23" spans="1:12" x14ac:dyDescent="0.3">
      <c r="A23" s="4">
        <v>20</v>
      </c>
      <c r="B23" s="5"/>
      <c r="C23" s="4"/>
      <c r="D23" s="4"/>
      <c r="E23" s="4"/>
      <c r="F23" s="4"/>
      <c r="G23" s="4"/>
      <c r="H23" s="4"/>
      <c r="I23" s="4" t="str">
        <f t="shared" si="0"/>
        <v/>
      </c>
      <c r="J23" s="5"/>
      <c r="K23" s="5"/>
      <c r="L23" t="str">
        <f t="shared" si="1"/>
        <v/>
      </c>
    </row>
    <row r="24" spans="1:12" x14ac:dyDescent="0.3">
      <c r="A24" s="2">
        <v>21</v>
      </c>
      <c r="B24" s="3"/>
      <c r="C24" s="2"/>
      <c r="D24" s="2"/>
      <c r="E24" s="2"/>
      <c r="F24" s="2"/>
      <c r="G24" s="2"/>
      <c r="H24" s="2"/>
      <c r="I24" s="2" t="str">
        <f t="shared" si="0"/>
        <v/>
      </c>
      <c r="J24" s="3"/>
      <c r="K24" s="3"/>
      <c r="L24" t="str">
        <f t="shared" si="1"/>
        <v/>
      </c>
    </row>
    <row r="25" spans="1:12" x14ac:dyDescent="0.3">
      <c r="A25" s="4">
        <v>22</v>
      </c>
      <c r="B25" s="5"/>
      <c r="C25" s="4"/>
      <c r="D25" s="4"/>
      <c r="E25" s="4"/>
      <c r="F25" s="4"/>
      <c r="G25" s="4"/>
      <c r="H25" s="4"/>
      <c r="I25" s="4" t="str">
        <f t="shared" si="0"/>
        <v/>
      </c>
      <c r="J25" s="5"/>
      <c r="K25" s="5"/>
      <c r="L25" t="str">
        <f t="shared" si="1"/>
        <v/>
      </c>
    </row>
    <row r="26" spans="1:12" x14ac:dyDescent="0.3">
      <c r="A26" s="2">
        <v>23</v>
      </c>
      <c r="B26" s="3"/>
      <c r="C26" s="2"/>
      <c r="D26" s="2"/>
      <c r="E26" s="2"/>
      <c r="F26" s="2"/>
      <c r="G26" s="2"/>
      <c r="H26" s="2"/>
      <c r="I26" s="2" t="str">
        <f t="shared" si="0"/>
        <v/>
      </c>
      <c r="J26" s="3"/>
      <c r="K26" s="3"/>
      <c r="L26" t="str">
        <f t="shared" si="1"/>
        <v/>
      </c>
    </row>
    <row r="27" spans="1:12" x14ac:dyDescent="0.3">
      <c r="A27" s="4">
        <v>24</v>
      </c>
      <c r="B27" s="5"/>
      <c r="C27" s="4"/>
      <c r="D27" s="4"/>
      <c r="E27" s="4"/>
      <c r="F27" s="4"/>
      <c r="G27" s="4"/>
      <c r="H27" s="4"/>
      <c r="I27" s="4" t="str">
        <f t="shared" si="0"/>
        <v/>
      </c>
      <c r="J27" s="5"/>
      <c r="K27" s="5"/>
      <c r="L27" t="str">
        <f t="shared" si="1"/>
        <v/>
      </c>
    </row>
    <row r="28" spans="1:12" x14ac:dyDescent="0.3">
      <c r="A28" s="2">
        <v>25</v>
      </c>
      <c r="B28" s="3"/>
      <c r="C28" s="2"/>
      <c r="D28" s="2"/>
      <c r="E28" s="2"/>
      <c r="F28" s="2"/>
      <c r="G28" s="2"/>
      <c r="H28" s="2"/>
      <c r="I28" s="2" t="str">
        <f t="shared" si="0"/>
        <v/>
      </c>
      <c r="J28" s="3"/>
      <c r="K28" s="3"/>
      <c r="L28" t="str">
        <f t="shared" si="1"/>
        <v/>
      </c>
    </row>
    <row r="29" spans="1:12" x14ac:dyDescent="0.3">
      <c r="A29" s="4">
        <v>26</v>
      </c>
      <c r="B29" s="5"/>
      <c r="C29" s="4"/>
      <c r="D29" s="4"/>
      <c r="E29" s="4"/>
      <c r="F29" s="4"/>
      <c r="G29" s="4"/>
      <c r="H29" s="4"/>
      <c r="I29" s="4" t="str">
        <f t="shared" si="0"/>
        <v/>
      </c>
      <c r="J29" s="5"/>
      <c r="K29" s="5"/>
      <c r="L29" t="str">
        <f t="shared" si="1"/>
        <v/>
      </c>
    </row>
    <row r="30" spans="1:12" x14ac:dyDescent="0.3">
      <c r="A30" s="2">
        <v>27</v>
      </c>
      <c r="B30" s="3"/>
      <c r="C30" s="2"/>
      <c r="D30" s="2"/>
      <c r="E30" s="2"/>
      <c r="F30" s="2"/>
      <c r="G30" s="2"/>
      <c r="H30" s="2"/>
      <c r="I30" s="2" t="str">
        <f t="shared" si="0"/>
        <v/>
      </c>
      <c r="J30" s="3"/>
      <c r="K30" s="3"/>
      <c r="L30" t="str">
        <f t="shared" si="1"/>
        <v/>
      </c>
    </row>
    <row r="31" spans="1:12" x14ac:dyDescent="0.3">
      <c r="A31" s="4">
        <v>28</v>
      </c>
      <c r="B31" s="5"/>
      <c r="C31" s="4"/>
      <c r="D31" s="4"/>
      <c r="E31" s="4"/>
      <c r="F31" s="4"/>
      <c r="G31" s="4"/>
      <c r="H31" s="4"/>
      <c r="I31" s="4" t="str">
        <f t="shared" si="0"/>
        <v/>
      </c>
      <c r="J31" s="5"/>
      <c r="K31" s="5"/>
      <c r="L31" t="str">
        <f t="shared" si="1"/>
        <v/>
      </c>
    </row>
    <row r="32" spans="1:12" x14ac:dyDescent="0.3">
      <c r="A32" s="2">
        <v>29</v>
      </c>
      <c r="B32" s="3"/>
      <c r="C32" s="2"/>
      <c r="D32" s="2"/>
      <c r="E32" s="2"/>
      <c r="F32" s="2"/>
      <c r="G32" s="2"/>
      <c r="H32" s="2"/>
      <c r="I32" s="2" t="str">
        <f t="shared" si="0"/>
        <v/>
      </c>
      <c r="J32" s="3"/>
      <c r="K32" s="3"/>
      <c r="L32" t="str">
        <f t="shared" si="1"/>
        <v/>
      </c>
    </row>
    <row r="33" spans="1:12" x14ac:dyDescent="0.3">
      <c r="A33" s="4">
        <v>30</v>
      </c>
      <c r="B33" s="5"/>
      <c r="C33" s="4"/>
      <c r="D33" s="4"/>
      <c r="E33" s="4"/>
      <c r="F33" s="4"/>
      <c r="G33" s="4"/>
      <c r="H33" s="4"/>
      <c r="I33" s="4" t="str">
        <f t="shared" si="0"/>
        <v/>
      </c>
      <c r="J33" s="5"/>
      <c r="K33" s="5"/>
      <c r="L33" t="str">
        <f t="shared" si="1"/>
        <v/>
      </c>
    </row>
    <row r="34" spans="1:12" x14ac:dyDescent="0.3">
      <c r="A34" s="2">
        <v>31</v>
      </c>
      <c r="B34" s="3"/>
      <c r="C34" s="2"/>
      <c r="D34" s="2"/>
      <c r="E34" s="2"/>
      <c r="F34" s="2"/>
      <c r="G34" s="2"/>
      <c r="H34" s="2"/>
      <c r="I34" s="2" t="str">
        <f t="shared" si="0"/>
        <v/>
      </c>
      <c r="J34" s="3"/>
      <c r="K34" s="3"/>
      <c r="L34" t="str">
        <f t="shared" si="1"/>
        <v/>
      </c>
    </row>
    <row r="35" spans="1:12" x14ac:dyDescent="0.3">
      <c r="A35" s="4">
        <v>32</v>
      </c>
      <c r="B35" s="5"/>
      <c r="C35" s="4"/>
      <c r="D35" s="4"/>
      <c r="E35" s="4"/>
      <c r="F35" s="4"/>
      <c r="G35" s="4"/>
      <c r="H35" s="4"/>
      <c r="I35" s="4" t="str">
        <f t="shared" si="0"/>
        <v/>
      </c>
      <c r="J35" s="5"/>
      <c r="K35" s="5"/>
      <c r="L35" t="str">
        <f t="shared" si="1"/>
        <v/>
      </c>
    </row>
    <row r="36" spans="1:12" x14ac:dyDescent="0.3">
      <c r="A36" s="2">
        <v>33</v>
      </c>
      <c r="B36" s="3"/>
      <c r="C36" s="2"/>
      <c r="D36" s="2"/>
      <c r="E36" s="2"/>
      <c r="F36" s="2"/>
      <c r="G36" s="2"/>
      <c r="H36" s="2"/>
      <c r="I36" s="2" t="str">
        <f t="shared" ref="I36:I67" si="2">IF(COUNTA(C36:H36)=0,"",SUM(C36:H36))</f>
        <v/>
      </c>
      <c r="J36" s="3"/>
      <c r="K36" s="3"/>
      <c r="L36" t="str">
        <f t="shared" ref="L36:L67" si="3">IF(I36="","",I36*1000+(124-ROW()))</f>
        <v/>
      </c>
    </row>
    <row r="37" spans="1:12" x14ac:dyDescent="0.3">
      <c r="A37" s="4">
        <v>34</v>
      </c>
      <c r="B37" s="5"/>
      <c r="C37" s="4"/>
      <c r="D37" s="4"/>
      <c r="E37" s="4"/>
      <c r="F37" s="4"/>
      <c r="G37" s="4"/>
      <c r="H37" s="4"/>
      <c r="I37" s="4" t="str">
        <f t="shared" si="2"/>
        <v/>
      </c>
      <c r="J37" s="5"/>
      <c r="K37" s="5"/>
      <c r="L37" t="str">
        <f t="shared" si="3"/>
        <v/>
      </c>
    </row>
    <row r="38" spans="1:12" x14ac:dyDescent="0.3">
      <c r="A38" s="2">
        <v>35</v>
      </c>
      <c r="B38" s="3"/>
      <c r="C38" s="2"/>
      <c r="D38" s="2"/>
      <c r="E38" s="2"/>
      <c r="F38" s="2"/>
      <c r="G38" s="2"/>
      <c r="H38" s="2"/>
      <c r="I38" s="2" t="str">
        <f t="shared" si="2"/>
        <v/>
      </c>
      <c r="J38" s="3"/>
      <c r="K38" s="3"/>
      <c r="L38" t="str">
        <f t="shared" si="3"/>
        <v/>
      </c>
    </row>
    <row r="39" spans="1:12" x14ac:dyDescent="0.3">
      <c r="A39" s="4">
        <v>36</v>
      </c>
      <c r="B39" s="5"/>
      <c r="C39" s="4"/>
      <c r="D39" s="4"/>
      <c r="E39" s="4"/>
      <c r="F39" s="4"/>
      <c r="G39" s="4"/>
      <c r="H39" s="4"/>
      <c r="I39" s="4" t="str">
        <f t="shared" si="2"/>
        <v/>
      </c>
      <c r="J39" s="5"/>
      <c r="K39" s="5"/>
      <c r="L39" t="str">
        <f t="shared" si="3"/>
        <v/>
      </c>
    </row>
    <row r="40" spans="1:12" x14ac:dyDescent="0.3">
      <c r="A40" s="2">
        <v>37</v>
      </c>
      <c r="B40" s="3"/>
      <c r="C40" s="2"/>
      <c r="D40" s="2"/>
      <c r="E40" s="2"/>
      <c r="F40" s="2"/>
      <c r="G40" s="2"/>
      <c r="H40" s="2"/>
      <c r="I40" s="2" t="str">
        <f t="shared" si="2"/>
        <v/>
      </c>
      <c r="J40" s="3"/>
      <c r="K40" s="3"/>
      <c r="L40" t="str">
        <f t="shared" si="3"/>
        <v/>
      </c>
    </row>
    <row r="41" spans="1:12" x14ac:dyDescent="0.3">
      <c r="A41" s="4">
        <v>38</v>
      </c>
      <c r="B41" s="5"/>
      <c r="C41" s="4"/>
      <c r="D41" s="4"/>
      <c r="E41" s="4"/>
      <c r="F41" s="4"/>
      <c r="G41" s="4"/>
      <c r="H41" s="4"/>
      <c r="I41" s="4" t="str">
        <f t="shared" si="2"/>
        <v/>
      </c>
      <c r="J41" s="5"/>
      <c r="K41" s="5"/>
      <c r="L41" t="str">
        <f t="shared" si="3"/>
        <v/>
      </c>
    </row>
    <row r="42" spans="1:12" x14ac:dyDescent="0.3">
      <c r="A42" s="2">
        <v>39</v>
      </c>
      <c r="B42" s="3"/>
      <c r="C42" s="2"/>
      <c r="D42" s="2"/>
      <c r="E42" s="2"/>
      <c r="F42" s="2"/>
      <c r="G42" s="2"/>
      <c r="H42" s="2"/>
      <c r="I42" s="2" t="str">
        <f t="shared" si="2"/>
        <v/>
      </c>
      <c r="J42" s="3"/>
      <c r="K42" s="3"/>
      <c r="L42" t="str">
        <f t="shared" si="3"/>
        <v/>
      </c>
    </row>
    <row r="43" spans="1:12" x14ac:dyDescent="0.3">
      <c r="A43" s="4">
        <v>40</v>
      </c>
      <c r="B43" s="5"/>
      <c r="C43" s="4"/>
      <c r="D43" s="4"/>
      <c r="E43" s="4"/>
      <c r="F43" s="4"/>
      <c r="G43" s="4"/>
      <c r="H43" s="4"/>
      <c r="I43" s="4" t="str">
        <f t="shared" si="2"/>
        <v/>
      </c>
      <c r="J43" s="5"/>
      <c r="K43" s="5"/>
      <c r="L43" t="str">
        <f t="shared" si="3"/>
        <v/>
      </c>
    </row>
    <row r="44" spans="1:12" x14ac:dyDescent="0.3">
      <c r="A44" s="2">
        <v>41</v>
      </c>
      <c r="B44" s="3"/>
      <c r="C44" s="2"/>
      <c r="D44" s="2"/>
      <c r="E44" s="2"/>
      <c r="F44" s="2"/>
      <c r="G44" s="2"/>
      <c r="H44" s="2"/>
      <c r="I44" s="2" t="str">
        <f t="shared" si="2"/>
        <v/>
      </c>
      <c r="J44" s="3"/>
      <c r="K44" s="3"/>
      <c r="L44" t="str">
        <f t="shared" si="3"/>
        <v/>
      </c>
    </row>
    <row r="45" spans="1:12" x14ac:dyDescent="0.3">
      <c r="A45" s="4">
        <v>42</v>
      </c>
      <c r="B45" s="5"/>
      <c r="C45" s="4"/>
      <c r="D45" s="4"/>
      <c r="E45" s="4"/>
      <c r="F45" s="4"/>
      <c r="G45" s="4"/>
      <c r="H45" s="4"/>
      <c r="I45" s="4" t="str">
        <f t="shared" si="2"/>
        <v/>
      </c>
      <c r="J45" s="5"/>
      <c r="K45" s="5"/>
      <c r="L45" t="str">
        <f t="shared" si="3"/>
        <v/>
      </c>
    </row>
    <row r="46" spans="1:12" x14ac:dyDescent="0.3">
      <c r="A46" s="2">
        <v>43</v>
      </c>
      <c r="B46" s="3"/>
      <c r="C46" s="2"/>
      <c r="D46" s="2"/>
      <c r="E46" s="2"/>
      <c r="F46" s="2"/>
      <c r="G46" s="2"/>
      <c r="H46" s="2"/>
      <c r="I46" s="2" t="str">
        <f t="shared" si="2"/>
        <v/>
      </c>
      <c r="J46" s="3"/>
      <c r="K46" s="3"/>
      <c r="L46" t="str">
        <f t="shared" si="3"/>
        <v/>
      </c>
    </row>
    <row r="47" spans="1:12" x14ac:dyDescent="0.3">
      <c r="A47" s="4">
        <v>44</v>
      </c>
      <c r="B47" s="5"/>
      <c r="C47" s="4"/>
      <c r="D47" s="4"/>
      <c r="E47" s="4"/>
      <c r="F47" s="4"/>
      <c r="G47" s="4"/>
      <c r="H47" s="4"/>
      <c r="I47" s="4" t="str">
        <f t="shared" si="2"/>
        <v/>
      </c>
      <c r="J47" s="5"/>
      <c r="K47" s="5"/>
      <c r="L47" t="str">
        <f t="shared" si="3"/>
        <v/>
      </c>
    </row>
    <row r="48" spans="1:12" x14ac:dyDescent="0.3">
      <c r="A48" s="2">
        <v>45</v>
      </c>
      <c r="B48" s="3"/>
      <c r="C48" s="2"/>
      <c r="D48" s="2"/>
      <c r="E48" s="2"/>
      <c r="F48" s="2"/>
      <c r="G48" s="2"/>
      <c r="H48" s="2"/>
      <c r="I48" s="2" t="str">
        <f t="shared" si="2"/>
        <v/>
      </c>
      <c r="J48" s="3"/>
      <c r="K48" s="3"/>
      <c r="L48" t="str">
        <f t="shared" si="3"/>
        <v/>
      </c>
    </row>
    <row r="49" spans="1:12" x14ac:dyDescent="0.3">
      <c r="A49" s="4">
        <v>46</v>
      </c>
      <c r="B49" s="5"/>
      <c r="C49" s="4"/>
      <c r="D49" s="4"/>
      <c r="E49" s="4"/>
      <c r="F49" s="4"/>
      <c r="G49" s="4"/>
      <c r="H49" s="4"/>
      <c r="I49" s="4" t="str">
        <f t="shared" si="2"/>
        <v/>
      </c>
      <c r="J49" s="5"/>
      <c r="K49" s="5"/>
      <c r="L49" t="str">
        <f t="shared" si="3"/>
        <v/>
      </c>
    </row>
    <row r="50" spans="1:12" x14ac:dyDescent="0.3">
      <c r="A50" s="2">
        <v>47</v>
      </c>
      <c r="B50" s="3"/>
      <c r="C50" s="2"/>
      <c r="D50" s="2"/>
      <c r="E50" s="2"/>
      <c r="F50" s="2"/>
      <c r="G50" s="2"/>
      <c r="H50" s="2"/>
      <c r="I50" s="2" t="str">
        <f t="shared" si="2"/>
        <v/>
      </c>
      <c r="J50" s="3"/>
      <c r="K50" s="3"/>
      <c r="L50" t="str">
        <f t="shared" si="3"/>
        <v/>
      </c>
    </row>
    <row r="51" spans="1:12" x14ac:dyDescent="0.3">
      <c r="A51" s="4">
        <v>48</v>
      </c>
      <c r="B51" s="5"/>
      <c r="C51" s="4"/>
      <c r="D51" s="4"/>
      <c r="E51" s="4"/>
      <c r="F51" s="4"/>
      <c r="G51" s="4"/>
      <c r="H51" s="4"/>
      <c r="I51" s="4" t="str">
        <f t="shared" si="2"/>
        <v/>
      </c>
      <c r="J51" s="5"/>
      <c r="K51" s="5"/>
      <c r="L51" t="str">
        <f t="shared" si="3"/>
        <v/>
      </c>
    </row>
    <row r="52" spans="1:12" x14ac:dyDescent="0.3">
      <c r="A52" s="2">
        <v>49</v>
      </c>
      <c r="B52" s="3"/>
      <c r="C52" s="2"/>
      <c r="D52" s="2"/>
      <c r="E52" s="2"/>
      <c r="F52" s="2"/>
      <c r="G52" s="2"/>
      <c r="H52" s="2"/>
      <c r="I52" s="2" t="str">
        <f t="shared" si="2"/>
        <v/>
      </c>
      <c r="J52" s="3"/>
      <c r="K52" s="3"/>
      <c r="L52" t="str">
        <f t="shared" si="3"/>
        <v/>
      </c>
    </row>
    <row r="53" spans="1:12" x14ac:dyDescent="0.3">
      <c r="A53" s="4">
        <v>50</v>
      </c>
      <c r="B53" s="5"/>
      <c r="C53" s="4"/>
      <c r="D53" s="4"/>
      <c r="E53" s="4"/>
      <c r="F53" s="4"/>
      <c r="G53" s="4"/>
      <c r="H53" s="4"/>
      <c r="I53" s="4" t="str">
        <f t="shared" si="2"/>
        <v/>
      </c>
      <c r="J53" s="5"/>
      <c r="K53" s="5"/>
      <c r="L53" t="str">
        <f t="shared" si="3"/>
        <v/>
      </c>
    </row>
    <row r="54" spans="1:12" x14ac:dyDescent="0.3">
      <c r="A54" s="2">
        <v>51</v>
      </c>
      <c r="B54" s="3"/>
      <c r="C54" s="2"/>
      <c r="D54" s="2"/>
      <c r="E54" s="2"/>
      <c r="F54" s="2"/>
      <c r="G54" s="2"/>
      <c r="H54" s="2"/>
      <c r="I54" s="2" t="str">
        <f t="shared" si="2"/>
        <v/>
      </c>
      <c r="J54" s="3"/>
      <c r="K54" s="3"/>
      <c r="L54" t="str">
        <f t="shared" si="3"/>
        <v/>
      </c>
    </row>
    <row r="55" spans="1:12" x14ac:dyDescent="0.3">
      <c r="A55" s="4">
        <v>52</v>
      </c>
      <c r="B55" s="5"/>
      <c r="C55" s="4"/>
      <c r="D55" s="4"/>
      <c r="E55" s="4"/>
      <c r="F55" s="4"/>
      <c r="G55" s="4"/>
      <c r="H55" s="4"/>
      <c r="I55" s="4" t="str">
        <f t="shared" si="2"/>
        <v/>
      </c>
      <c r="J55" s="5"/>
      <c r="K55" s="5"/>
      <c r="L55" t="str">
        <f t="shared" si="3"/>
        <v/>
      </c>
    </row>
    <row r="56" spans="1:12" x14ac:dyDescent="0.3">
      <c r="A56" s="2">
        <v>53</v>
      </c>
      <c r="B56" s="3"/>
      <c r="C56" s="2"/>
      <c r="D56" s="2"/>
      <c r="E56" s="2"/>
      <c r="F56" s="2"/>
      <c r="G56" s="2"/>
      <c r="H56" s="2"/>
      <c r="I56" s="2" t="str">
        <f t="shared" si="2"/>
        <v/>
      </c>
      <c r="J56" s="3"/>
      <c r="K56" s="3"/>
      <c r="L56" t="str">
        <f t="shared" si="3"/>
        <v/>
      </c>
    </row>
    <row r="57" spans="1:12" x14ac:dyDescent="0.3">
      <c r="A57" s="4">
        <v>54</v>
      </c>
      <c r="B57" s="5"/>
      <c r="C57" s="4"/>
      <c r="D57" s="4"/>
      <c r="E57" s="4"/>
      <c r="F57" s="4"/>
      <c r="G57" s="4"/>
      <c r="H57" s="4"/>
      <c r="I57" s="4" t="str">
        <f t="shared" si="2"/>
        <v/>
      </c>
      <c r="J57" s="5"/>
      <c r="K57" s="5"/>
      <c r="L57" t="str">
        <f t="shared" si="3"/>
        <v/>
      </c>
    </row>
    <row r="58" spans="1:12" x14ac:dyDescent="0.3">
      <c r="A58" s="2">
        <v>55</v>
      </c>
      <c r="B58" s="3"/>
      <c r="C58" s="2"/>
      <c r="D58" s="2"/>
      <c r="E58" s="2"/>
      <c r="F58" s="2"/>
      <c r="G58" s="2"/>
      <c r="H58" s="2"/>
      <c r="I58" s="2" t="str">
        <f t="shared" si="2"/>
        <v/>
      </c>
      <c r="J58" s="3"/>
      <c r="K58" s="3"/>
      <c r="L58" t="str">
        <f t="shared" si="3"/>
        <v/>
      </c>
    </row>
    <row r="59" spans="1:12" x14ac:dyDescent="0.3">
      <c r="A59" s="4">
        <v>56</v>
      </c>
      <c r="B59" s="5"/>
      <c r="C59" s="4"/>
      <c r="D59" s="4"/>
      <c r="E59" s="4"/>
      <c r="F59" s="4"/>
      <c r="G59" s="4"/>
      <c r="H59" s="4"/>
      <c r="I59" s="4" t="str">
        <f t="shared" si="2"/>
        <v/>
      </c>
      <c r="J59" s="5"/>
      <c r="K59" s="5"/>
      <c r="L59" t="str">
        <f t="shared" si="3"/>
        <v/>
      </c>
    </row>
    <row r="60" spans="1:12" x14ac:dyDescent="0.3">
      <c r="A60" s="2">
        <v>57</v>
      </c>
      <c r="B60" s="3"/>
      <c r="C60" s="2"/>
      <c r="D60" s="2"/>
      <c r="E60" s="2"/>
      <c r="F60" s="2"/>
      <c r="G60" s="2"/>
      <c r="H60" s="2"/>
      <c r="I60" s="2" t="str">
        <f t="shared" si="2"/>
        <v/>
      </c>
      <c r="J60" s="3"/>
      <c r="K60" s="3"/>
      <c r="L60" t="str">
        <f t="shared" si="3"/>
        <v/>
      </c>
    </row>
    <row r="61" spans="1:12" x14ac:dyDescent="0.3">
      <c r="A61" s="4">
        <v>58</v>
      </c>
      <c r="B61" s="5"/>
      <c r="C61" s="4"/>
      <c r="D61" s="4"/>
      <c r="E61" s="4"/>
      <c r="F61" s="4"/>
      <c r="G61" s="4"/>
      <c r="H61" s="4"/>
      <c r="I61" s="4" t="str">
        <f t="shared" si="2"/>
        <v/>
      </c>
      <c r="J61" s="5"/>
      <c r="K61" s="5"/>
      <c r="L61" t="str">
        <f t="shared" si="3"/>
        <v/>
      </c>
    </row>
    <row r="62" spans="1:12" x14ac:dyDescent="0.3">
      <c r="A62" s="2">
        <v>59</v>
      </c>
      <c r="B62" s="3"/>
      <c r="C62" s="2"/>
      <c r="D62" s="2"/>
      <c r="E62" s="2"/>
      <c r="F62" s="2"/>
      <c r="G62" s="2"/>
      <c r="H62" s="2"/>
      <c r="I62" s="2" t="str">
        <f t="shared" si="2"/>
        <v/>
      </c>
      <c r="J62" s="3"/>
      <c r="K62" s="3"/>
      <c r="L62" t="str">
        <f t="shared" si="3"/>
        <v/>
      </c>
    </row>
    <row r="63" spans="1:12" x14ac:dyDescent="0.3">
      <c r="A63" s="4">
        <v>60</v>
      </c>
      <c r="B63" s="5"/>
      <c r="C63" s="4"/>
      <c r="D63" s="4"/>
      <c r="E63" s="4"/>
      <c r="F63" s="4"/>
      <c r="G63" s="4"/>
      <c r="H63" s="4"/>
      <c r="I63" s="4" t="str">
        <f t="shared" si="2"/>
        <v/>
      </c>
      <c r="J63" s="5"/>
      <c r="K63" s="5"/>
      <c r="L63" t="str">
        <f t="shared" si="3"/>
        <v/>
      </c>
    </row>
    <row r="64" spans="1:12" x14ac:dyDescent="0.3">
      <c r="A64" s="2">
        <v>61</v>
      </c>
      <c r="B64" s="3"/>
      <c r="C64" s="2"/>
      <c r="D64" s="2"/>
      <c r="E64" s="2"/>
      <c r="F64" s="2"/>
      <c r="G64" s="2"/>
      <c r="H64" s="2"/>
      <c r="I64" s="2" t="str">
        <f t="shared" si="2"/>
        <v/>
      </c>
      <c r="J64" s="3"/>
      <c r="K64" s="3"/>
      <c r="L64" t="str">
        <f t="shared" si="3"/>
        <v/>
      </c>
    </row>
    <row r="65" spans="1:12" x14ac:dyDescent="0.3">
      <c r="A65" s="4">
        <v>62</v>
      </c>
      <c r="B65" s="5"/>
      <c r="C65" s="4"/>
      <c r="D65" s="4"/>
      <c r="E65" s="4"/>
      <c r="F65" s="4"/>
      <c r="G65" s="4"/>
      <c r="H65" s="4"/>
      <c r="I65" s="4" t="str">
        <f t="shared" si="2"/>
        <v/>
      </c>
      <c r="J65" s="5"/>
      <c r="K65" s="5"/>
      <c r="L65" t="str">
        <f t="shared" si="3"/>
        <v/>
      </c>
    </row>
    <row r="66" spans="1:12" x14ac:dyDescent="0.3">
      <c r="A66" s="2">
        <v>63</v>
      </c>
      <c r="B66" s="3"/>
      <c r="C66" s="2"/>
      <c r="D66" s="2"/>
      <c r="E66" s="2"/>
      <c r="F66" s="2"/>
      <c r="G66" s="2"/>
      <c r="H66" s="2"/>
      <c r="I66" s="2" t="str">
        <f t="shared" si="2"/>
        <v/>
      </c>
      <c r="J66" s="3"/>
      <c r="K66" s="3"/>
      <c r="L66" t="str">
        <f t="shared" si="3"/>
        <v/>
      </c>
    </row>
    <row r="67" spans="1:12" x14ac:dyDescent="0.3">
      <c r="A67" s="4">
        <v>64</v>
      </c>
      <c r="B67" s="5"/>
      <c r="C67" s="4"/>
      <c r="D67" s="4"/>
      <c r="E67" s="4"/>
      <c r="F67" s="4"/>
      <c r="G67" s="4"/>
      <c r="H67" s="4"/>
      <c r="I67" s="4" t="str">
        <f t="shared" si="2"/>
        <v/>
      </c>
      <c r="J67" s="5"/>
      <c r="K67" s="5"/>
      <c r="L67" t="str">
        <f t="shared" si="3"/>
        <v/>
      </c>
    </row>
    <row r="68" spans="1:12" x14ac:dyDescent="0.3">
      <c r="A68" s="2">
        <v>65</v>
      </c>
      <c r="B68" s="3"/>
      <c r="C68" s="2"/>
      <c r="D68" s="2"/>
      <c r="E68" s="2"/>
      <c r="F68" s="2"/>
      <c r="G68" s="2"/>
      <c r="H68" s="2"/>
      <c r="I68" s="2" t="str">
        <f t="shared" ref="I68:I99" si="4">IF(COUNTA(C68:H68)=0,"",SUM(C68:H68))</f>
        <v/>
      </c>
      <c r="J68" s="3"/>
      <c r="K68" s="3"/>
      <c r="L68" t="str">
        <f t="shared" ref="L68:L99" si="5">IF(I68="","",I68*1000+(124-ROW()))</f>
        <v/>
      </c>
    </row>
    <row r="69" spans="1:12" x14ac:dyDescent="0.3">
      <c r="A69" s="4">
        <v>66</v>
      </c>
      <c r="B69" s="5"/>
      <c r="C69" s="4"/>
      <c r="D69" s="4"/>
      <c r="E69" s="4"/>
      <c r="F69" s="4"/>
      <c r="G69" s="4"/>
      <c r="H69" s="4"/>
      <c r="I69" s="4" t="str">
        <f t="shared" si="4"/>
        <v/>
      </c>
      <c r="J69" s="5"/>
      <c r="K69" s="5"/>
      <c r="L69" t="str">
        <f t="shared" si="5"/>
        <v/>
      </c>
    </row>
    <row r="70" spans="1:12" x14ac:dyDescent="0.3">
      <c r="A70" s="2">
        <v>67</v>
      </c>
      <c r="B70" s="3"/>
      <c r="C70" s="2"/>
      <c r="D70" s="2"/>
      <c r="E70" s="2"/>
      <c r="F70" s="2"/>
      <c r="G70" s="2"/>
      <c r="H70" s="2"/>
      <c r="I70" s="2" t="str">
        <f t="shared" si="4"/>
        <v/>
      </c>
      <c r="J70" s="3"/>
      <c r="K70" s="3"/>
      <c r="L70" t="str">
        <f t="shared" si="5"/>
        <v/>
      </c>
    </row>
    <row r="71" spans="1:12" x14ac:dyDescent="0.3">
      <c r="A71" s="4">
        <v>68</v>
      </c>
      <c r="B71" s="5"/>
      <c r="C71" s="4"/>
      <c r="D71" s="4"/>
      <c r="E71" s="4"/>
      <c r="F71" s="4"/>
      <c r="G71" s="4"/>
      <c r="H71" s="4"/>
      <c r="I71" s="4" t="str">
        <f t="shared" si="4"/>
        <v/>
      </c>
      <c r="J71" s="5"/>
      <c r="K71" s="5"/>
      <c r="L71" t="str">
        <f t="shared" si="5"/>
        <v/>
      </c>
    </row>
    <row r="72" spans="1:12" x14ac:dyDescent="0.3">
      <c r="A72" s="2">
        <v>69</v>
      </c>
      <c r="B72" s="3"/>
      <c r="C72" s="2"/>
      <c r="D72" s="2"/>
      <c r="E72" s="2"/>
      <c r="F72" s="2"/>
      <c r="G72" s="2"/>
      <c r="H72" s="2"/>
      <c r="I72" s="2" t="str">
        <f t="shared" si="4"/>
        <v/>
      </c>
      <c r="J72" s="3"/>
      <c r="K72" s="3"/>
      <c r="L72" t="str">
        <f t="shared" si="5"/>
        <v/>
      </c>
    </row>
    <row r="73" spans="1:12" x14ac:dyDescent="0.3">
      <c r="A73" s="4">
        <v>70</v>
      </c>
      <c r="B73" s="5"/>
      <c r="C73" s="4"/>
      <c r="D73" s="4"/>
      <c r="E73" s="4"/>
      <c r="F73" s="4"/>
      <c r="G73" s="4"/>
      <c r="H73" s="4"/>
      <c r="I73" s="4" t="str">
        <f t="shared" si="4"/>
        <v/>
      </c>
      <c r="J73" s="5"/>
      <c r="K73" s="5"/>
      <c r="L73" t="str">
        <f t="shared" si="5"/>
        <v/>
      </c>
    </row>
    <row r="74" spans="1:12" x14ac:dyDescent="0.3">
      <c r="A74" s="2">
        <v>71</v>
      </c>
      <c r="B74" s="3"/>
      <c r="C74" s="2"/>
      <c r="D74" s="2"/>
      <c r="E74" s="2"/>
      <c r="F74" s="2"/>
      <c r="G74" s="2"/>
      <c r="H74" s="2"/>
      <c r="I74" s="2" t="str">
        <f t="shared" si="4"/>
        <v/>
      </c>
      <c r="J74" s="3"/>
      <c r="K74" s="3"/>
      <c r="L74" t="str">
        <f t="shared" si="5"/>
        <v/>
      </c>
    </row>
    <row r="75" spans="1:12" x14ac:dyDescent="0.3">
      <c r="A75" s="4">
        <v>72</v>
      </c>
      <c r="B75" s="5"/>
      <c r="C75" s="4"/>
      <c r="D75" s="4"/>
      <c r="E75" s="4"/>
      <c r="F75" s="4"/>
      <c r="G75" s="4"/>
      <c r="H75" s="4"/>
      <c r="I75" s="4" t="str">
        <f t="shared" si="4"/>
        <v/>
      </c>
      <c r="J75" s="5"/>
      <c r="K75" s="5"/>
      <c r="L75" t="str">
        <f t="shared" si="5"/>
        <v/>
      </c>
    </row>
    <row r="76" spans="1:12" x14ac:dyDescent="0.3">
      <c r="A76" s="2">
        <v>73</v>
      </c>
      <c r="B76" s="3"/>
      <c r="C76" s="2"/>
      <c r="D76" s="2"/>
      <c r="E76" s="2"/>
      <c r="F76" s="2"/>
      <c r="G76" s="2"/>
      <c r="H76" s="2"/>
      <c r="I76" s="2" t="str">
        <f t="shared" si="4"/>
        <v/>
      </c>
      <c r="J76" s="3"/>
      <c r="K76" s="3"/>
      <c r="L76" t="str">
        <f t="shared" si="5"/>
        <v/>
      </c>
    </row>
    <row r="77" spans="1:12" x14ac:dyDescent="0.3">
      <c r="A77" s="4">
        <v>74</v>
      </c>
      <c r="B77" s="5"/>
      <c r="C77" s="4"/>
      <c r="D77" s="4"/>
      <c r="E77" s="4"/>
      <c r="F77" s="4"/>
      <c r="G77" s="4"/>
      <c r="H77" s="4"/>
      <c r="I77" s="4" t="str">
        <f t="shared" si="4"/>
        <v/>
      </c>
      <c r="J77" s="5"/>
      <c r="K77" s="5"/>
      <c r="L77" t="str">
        <f t="shared" si="5"/>
        <v/>
      </c>
    </row>
    <row r="78" spans="1:12" x14ac:dyDescent="0.3">
      <c r="A78" s="2">
        <v>75</v>
      </c>
      <c r="B78" s="3"/>
      <c r="C78" s="2"/>
      <c r="D78" s="2"/>
      <c r="E78" s="2"/>
      <c r="F78" s="2"/>
      <c r="G78" s="2"/>
      <c r="H78" s="2"/>
      <c r="I78" s="2" t="str">
        <f t="shared" si="4"/>
        <v/>
      </c>
      <c r="J78" s="3"/>
      <c r="K78" s="3"/>
      <c r="L78" t="str">
        <f t="shared" si="5"/>
        <v/>
      </c>
    </row>
    <row r="79" spans="1:12" x14ac:dyDescent="0.3">
      <c r="A79" s="4">
        <v>76</v>
      </c>
      <c r="B79" s="5"/>
      <c r="C79" s="4"/>
      <c r="D79" s="4"/>
      <c r="E79" s="4"/>
      <c r="F79" s="4"/>
      <c r="G79" s="4"/>
      <c r="H79" s="4"/>
      <c r="I79" s="4" t="str">
        <f t="shared" si="4"/>
        <v/>
      </c>
      <c r="J79" s="5"/>
      <c r="K79" s="5"/>
      <c r="L79" t="str">
        <f t="shared" si="5"/>
        <v/>
      </c>
    </row>
    <row r="80" spans="1:12" x14ac:dyDescent="0.3">
      <c r="A80" s="2">
        <v>77</v>
      </c>
      <c r="B80" s="3"/>
      <c r="C80" s="2"/>
      <c r="D80" s="2"/>
      <c r="E80" s="2"/>
      <c r="F80" s="2"/>
      <c r="G80" s="2"/>
      <c r="H80" s="2"/>
      <c r="I80" s="2" t="str">
        <f t="shared" si="4"/>
        <v/>
      </c>
      <c r="J80" s="3"/>
      <c r="K80" s="3"/>
      <c r="L80" t="str">
        <f t="shared" si="5"/>
        <v/>
      </c>
    </row>
    <row r="81" spans="1:12" x14ac:dyDescent="0.3">
      <c r="A81" s="4">
        <v>78</v>
      </c>
      <c r="B81" s="5"/>
      <c r="C81" s="4"/>
      <c r="D81" s="4"/>
      <c r="E81" s="4"/>
      <c r="F81" s="4"/>
      <c r="G81" s="4"/>
      <c r="H81" s="4"/>
      <c r="I81" s="4" t="str">
        <f t="shared" si="4"/>
        <v/>
      </c>
      <c r="J81" s="5"/>
      <c r="K81" s="5"/>
      <c r="L81" t="str">
        <f t="shared" si="5"/>
        <v/>
      </c>
    </row>
    <row r="82" spans="1:12" x14ac:dyDescent="0.3">
      <c r="A82" s="2">
        <v>79</v>
      </c>
      <c r="B82" s="3"/>
      <c r="C82" s="2"/>
      <c r="D82" s="2"/>
      <c r="E82" s="2"/>
      <c r="F82" s="2"/>
      <c r="G82" s="2"/>
      <c r="H82" s="2"/>
      <c r="I82" s="2" t="str">
        <f t="shared" si="4"/>
        <v/>
      </c>
      <c r="J82" s="3"/>
      <c r="K82" s="3"/>
      <c r="L82" t="str">
        <f t="shared" si="5"/>
        <v/>
      </c>
    </row>
    <row r="83" spans="1:12" x14ac:dyDescent="0.3">
      <c r="A83" s="4">
        <v>80</v>
      </c>
      <c r="B83" s="5"/>
      <c r="C83" s="4"/>
      <c r="D83" s="4"/>
      <c r="E83" s="4"/>
      <c r="F83" s="4"/>
      <c r="G83" s="4"/>
      <c r="H83" s="4"/>
      <c r="I83" s="4" t="str">
        <f t="shared" si="4"/>
        <v/>
      </c>
      <c r="J83" s="5"/>
      <c r="K83" s="5"/>
      <c r="L83" t="str">
        <f t="shared" si="5"/>
        <v/>
      </c>
    </row>
    <row r="84" spans="1:12" x14ac:dyDescent="0.3">
      <c r="A84" s="2">
        <v>81</v>
      </c>
      <c r="B84" s="3"/>
      <c r="C84" s="2"/>
      <c r="D84" s="2"/>
      <c r="E84" s="2"/>
      <c r="F84" s="2"/>
      <c r="G84" s="2"/>
      <c r="H84" s="2"/>
      <c r="I84" s="2" t="str">
        <f t="shared" si="4"/>
        <v/>
      </c>
      <c r="J84" s="3"/>
      <c r="K84" s="3"/>
      <c r="L84" t="str">
        <f t="shared" si="5"/>
        <v/>
      </c>
    </row>
    <row r="85" spans="1:12" x14ac:dyDescent="0.3">
      <c r="A85" s="4">
        <v>82</v>
      </c>
      <c r="B85" s="5"/>
      <c r="C85" s="4"/>
      <c r="D85" s="4"/>
      <c r="E85" s="4"/>
      <c r="F85" s="4"/>
      <c r="G85" s="4"/>
      <c r="H85" s="4"/>
      <c r="I85" s="4" t="str">
        <f t="shared" si="4"/>
        <v/>
      </c>
      <c r="J85" s="5"/>
      <c r="K85" s="5"/>
      <c r="L85" t="str">
        <f t="shared" si="5"/>
        <v/>
      </c>
    </row>
    <row r="86" spans="1:12" x14ac:dyDescent="0.3">
      <c r="A86" s="2">
        <v>83</v>
      </c>
      <c r="B86" s="3"/>
      <c r="C86" s="2"/>
      <c r="D86" s="2"/>
      <c r="E86" s="2"/>
      <c r="F86" s="2"/>
      <c r="G86" s="2"/>
      <c r="H86" s="2"/>
      <c r="I86" s="2" t="str">
        <f t="shared" si="4"/>
        <v/>
      </c>
      <c r="J86" s="3"/>
      <c r="K86" s="3"/>
      <c r="L86" t="str">
        <f t="shared" si="5"/>
        <v/>
      </c>
    </row>
    <row r="87" spans="1:12" x14ac:dyDescent="0.3">
      <c r="A87" s="4">
        <v>84</v>
      </c>
      <c r="B87" s="5"/>
      <c r="C87" s="4"/>
      <c r="D87" s="4"/>
      <c r="E87" s="4"/>
      <c r="F87" s="4"/>
      <c r="G87" s="4"/>
      <c r="H87" s="4"/>
      <c r="I87" s="4" t="str">
        <f t="shared" si="4"/>
        <v/>
      </c>
      <c r="J87" s="5"/>
      <c r="K87" s="5"/>
      <c r="L87" t="str">
        <f t="shared" si="5"/>
        <v/>
      </c>
    </row>
    <row r="88" spans="1:12" x14ac:dyDescent="0.3">
      <c r="A88" s="2">
        <v>85</v>
      </c>
      <c r="B88" s="3"/>
      <c r="C88" s="2"/>
      <c r="D88" s="2"/>
      <c r="E88" s="2"/>
      <c r="F88" s="2"/>
      <c r="G88" s="2"/>
      <c r="H88" s="2"/>
      <c r="I88" s="2" t="str">
        <f t="shared" si="4"/>
        <v/>
      </c>
      <c r="J88" s="3"/>
      <c r="K88" s="3"/>
      <c r="L88" t="str">
        <f t="shared" si="5"/>
        <v/>
      </c>
    </row>
    <row r="89" spans="1:12" x14ac:dyDescent="0.3">
      <c r="A89" s="4">
        <v>86</v>
      </c>
      <c r="B89" s="5"/>
      <c r="C89" s="4"/>
      <c r="D89" s="4"/>
      <c r="E89" s="4"/>
      <c r="F89" s="4"/>
      <c r="G89" s="4"/>
      <c r="H89" s="4"/>
      <c r="I89" s="4" t="str">
        <f t="shared" si="4"/>
        <v/>
      </c>
      <c r="J89" s="5"/>
      <c r="K89" s="5"/>
      <c r="L89" t="str">
        <f t="shared" si="5"/>
        <v/>
      </c>
    </row>
    <row r="90" spans="1:12" x14ac:dyDescent="0.3">
      <c r="A90" s="2">
        <v>87</v>
      </c>
      <c r="B90" s="3"/>
      <c r="C90" s="2"/>
      <c r="D90" s="2"/>
      <c r="E90" s="2"/>
      <c r="F90" s="2"/>
      <c r="G90" s="2"/>
      <c r="H90" s="2"/>
      <c r="I90" s="2" t="str">
        <f t="shared" si="4"/>
        <v/>
      </c>
      <c r="J90" s="3"/>
      <c r="K90" s="3"/>
      <c r="L90" t="str">
        <f t="shared" si="5"/>
        <v/>
      </c>
    </row>
    <row r="91" spans="1:12" x14ac:dyDescent="0.3">
      <c r="A91" s="4">
        <v>88</v>
      </c>
      <c r="B91" s="5"/>
      <c r="C91" s="4"/>
      <c r="D91" s="4"/>
      <c r="E91" s="4"/>
      <c r="F91" s="4"/>
      <c r="G91" s="4"/>
      <c r="H91" s="4"/>
      <c r="I91" s="4" t="str">
        <f t="shared" si="4"/>
        <v/>
      </c>
      <c r="J91" s="5"/>
      <c r="K91" s="5"/>
      <c r="L91" t="str">
        <f t="shared" si="5"/>
        <v/>
      </c>
    </row>
    <row r="92" spans="1:12" x14ac:dyDescent="0.3">
      <c r="A92" s="2">
        <v>89</v>
      </c>
      <c r="B92" s="3"/>
      <c r="C92" s="2"/>
      <c r="D92" s="2"/>
      <c r="E92" s="2"/>
      <c r="F92" s="2"/>
      <c r="G92" s="2"/>
      <c r="H92" s="2"/>
      <c r="I92" s="2" t="str">
        <f t="shared" si="4"/>
        <v/>
      </c>
      <c r="J92" s="3"/>
      <c r="K92" s="3"/>
      <c r="L92" t="str">
        <f t="shared" si="5"/>
        <v/>
      </c>
    </row>
    <row r="93" spans="1:12" x14ac:dyDescent="0.3">
      <c r="A93" s="4">
        <v>90</v>
      </c>
      <c r="B93" s="5"/>
      <c r="C93" s="4"/>
      <c r="D93" s="4"/>
      <c r="E93" s="4"/>
      <c r="F93" s="4"/>
      <c r="G93" s="4"/>
      <c r="H93" s="4"/>
      <c r="I93" s="4" t="str">
        <f t="shared" si="4"/>
        <v/>
      </c>
      <c r="J93" s="5"/>
      <c r="K93" s="5"/>
      <c r="L93" t="str">
        <f t="shared" si="5"/>
        <v/>
      </c>
    </row>
    <row r="94" spans="1:12" x14ac:dyDescent="0.3">
      <c r="A94" s="2">
        <v>91</v>
      </c>
      <c r="B94" s="3"/>
      <c r="C94" s="2"/>
      <c r="D94" s="2"/>
      <c r="E94" s="2"/>
      <c r="F94" s="2"/>
      <c r="G94" s="2"/>
      <c r="H94" s="2"/>
      <c r="I94" s="2" t="str">
        <f t="shared" si="4"/>
        <v/>
      </c>
      <c r="J94" s="3"/>
      <c r="K94" s="3"/>
      <c r="L94" t="str">
        <f t="shared" si="5"/>
        <v/>
      </c>
    </row>
    <row r="95" spans="1:12" x14ac:dyDescent="0.3">
      <c r="A95" s="4">
        <v>92</v>
      </c>
      <c r="B95" s="5"/>
      <c r="C95" s="4"/>
      <c r="D95" s="4"/>
      <c r="E95" s="4"/>
      <c r="F95" s="4"/>
      <c r="G95" s="4"/>
      <c r="H95" s="4"/>
      <c r="I95" s="4" t="str">
        <f t="shared" si="4"/>
        <v/>
      </c>
      <c r="J95" s="5"/>
      <c r="K95" s="5"/>
      <c r="L95" t="str">
        <f t="shared" si="5"/>
        <v/>
      </c>
    </row>
    <row r="96" spans="1:12" x14ac:dyDescent="0.3">
      <c r="A96" s="2">
        <v>93</v>
      </c>
      <c r="B96" s="3"/>
      <c r="C96" s="2"/>
      <c r="D96" s="2"/>
      <c r="E96" s="2"/>
      <c r="F96" s="2"/>
      <c r="G96" s="2"/>
      <c r="H96" s="2"/>
      <c r="I96" s="2" t="str">
        <f t="shared" si="4"/>
        <v/>
      </c>
      <c r="J96" s="3"/>
      <c r="K96" s="3"/>
      <c r="L96" t="str">
        <f t="shared" si="5"/>
        <v/>
      </c>
    </row>
    <row r="97" spans="1:12" x14ac:dyDescent="0.3">
      <c r="A97" s="4">
        <v>94</v>
      </c>
      <c r="B97" s="5"/>
      <c r="C97" s="4"/>
      <c r="D97" s="4"/>
      <c r="E97" s="4"/>
      <c r="F97" s="4"/>
      <c r="G97" s="4"/>
      <c r="H97" s="4"/>
      <c r="I97" s="4" t="str">
        <f t="shared" si="4"/>
        <v/>
      </c>
      <c r="J97" s="5"/>
      <c r="K97" s="5"/>
      <c r="L97" t="str">
        <f t="shared" si="5"/>
        <v/>
      </c>
    </row>
    <row r="98" spans="1:12" x14ac:dyDescent="0.3">
      <c r="A98" s="2">
        <v>95</v>
      </c>
      <c r="B98" s="3"/>
      <c r="C98" s="2"/>
      <c r="D98" s="2"/>
      <c r="E98" s="2"/>
      <c r="F98" s="2"/>
      <c r="G98" s="2"/>
      <c r="H98" s="2"/>
      <c r="I98" s="2" t="str">
        <f t="shared" si="4"/>
        <v/>
      </c>
      <c r="J98" s="3"/>
      <c r="K98" s="3"/>
      <c r="L98" t="str">
        <f t="shared" si="5"/>
        <v/>
      </c>
    </row>
    <row r="99" spans="1:12" x14ac:dyDescent="0.3">
      <c r="A99" s="4">
        <v>96</v>
      </c>
      <c r="B99" s="5"/>
      <c r="C99" s="4"/>
      <c r="D99" s="4"/>
      <c r="E99" s="4"/>
      <c r="F99" s="4"/>
      <c r="G99" s="4"/>
      <c r="H99" s="4"/>
      <c r="I99" s="4" t="str">
        <f t="shared" si="4"/>
        <v/>
      </c>
      <c r="J99" s="5"/>
      <c r="K99" s="5"/>
      <c r="L99" t="str">
        <f t="shared" si="5"/>
        <v/>
      </c>
    </row>
    <row r="100" spans="1:12" x14ac:dyDescent="0.3">
      <c r="A100" s="2">
        <v>97</v>
      </c>
      <c r="B100" s="3"/>
      <c r="C100" s="2"/>
      <c r="D100" s="2"/>
      <c r="E100" s="2"/>
      <c r="F100" s="2"/>
      <c r="G100" s="2"/>
      <c r="H100" s="2"/>
      <c r="I100" s="2" t="str">
        <f t="shared" ref="I100:I123" si="6">IF(COUNTA(C100:H100)=0,"",SUM(C100:H100))</f>
        <v/>
      </c>
      <c r="J100" s="3"/>
      <c r="K100" s="3"/>
      <c r="L100" t="str">
        <f t="shared" ref="L100:L123" si="7">IF(I100="","",I100*1000+(124-ROW()))</f>
        <v/>
      </c>
    </row>
    <row r="101" spans="1:12" x14ac:dyDescent="0.3">
      <c r="A101" s="4">
        <v>98</v>
      </c>
      <c r="B101" s="5"/>
      <c r="C101" s="4"/>
      <c r="D101" s="4"/>
      <c r="E101" s="4"/>
      <c r="F101" s="4"/>
      <c r="G101" s="4"/>
      <c r="H101" s="4"/>
      <c r="I101" s="4" t="str">
        <f t="shared" si="6"/>
        <v/>
      </c>
      <c r="J101" s="5"/>
      <c r="K101" s="5"/>
      <c r="L101" t="str">
        <f t="shared" si="7"/>
        <v/>
      </c>
    </row>
    <row r="102" spans="1:12" x14ac:dyDescent="0.3">
      <c r="A102" s="2">
        <v>99</v>
      </c>
      <c r="B102" s="3"/>
      <c r="C102" s="2"/>
      <c r="D102" s="2"/>
      <c r="E102" s="2"/>
      <c r="F102" s="2"/>
      <c r="G102" s="2"/>
      <c r="H102" s="2"/>
      <c r="I102" s="2" t="str">
        <f t="shared" si="6"/>
        <v/>
      </c>
      <c r="J102" s="3"/>
      <c r="K102" s="3"/>
      <c r="L102" t="str">
        <f t="shared" si="7"/>
        <v/>
      </c>
    </row>
    <row r="103" spans="1:12" x14ac:dyDescent="0.3">
      <c r="A103" s="4">
        <v>100</v>
      </c>
      <c r="B103" s="5"/>
      <c r="C103" s="4"/>
      <c r="D103" s="4"/>
      <c r="E103" s="4"/>
      <c r="F103" s="4"/>
      <c r="G103" s="4"/>
      <c r="H103" s="4"/>
      <c r="I103" s="4" t="str">
        <f t="shared" si="6"/>
        <v/>
      </c>
      <c r="J103" s="5"/>
      <c r="K103" s="5"/>
      <c r="L103" t="str">
        <f t="shared" si="7"/>
        <v/>
      </c>
    </row>
    <row r="104" spans="1:12" x14ac:dyDescent="0.3">
      <c r="A104" s="2">
        <v>101</v>
      </c>
      <c r="B104" s="3"/>
      <c r="C104" s="2"/>
      <c r="D104" s="2"/>
      <c r="E104" s="2"/>
      <c r="F104" s="2"/>
      <c r="G104" s="2"/>
      <c r="H104" s="2"/>
      <c r="I104" s="2" t="str">
        <f t="shared" si="6"/>
        <v/>
      </c>
      <c r="J104" s="3"/>
      <c r="K104" s="3"/>
      <c r="L104" t="str">
        <f t="shared" si="7"/>
        <v/>
      </c>
    </row>
    <row r="105" spans="1:12" x14ac:dyDescent="0.3">
      <c r="A105" s="4">
        <v>102</v>
      </c>
      <c r="B105" s="5"/>
      <c r="C105" s="4"/>
      <c r="D105" s="4"/>
      <c r="E105" s="4"/>
      <c r="F105" s="4"/>
      <c r="G105" s="4"/>
      <c r="H105" s="4"/>
      <c r="I105" s="4" t="str">
        <f t="shared" si="6"/>
        <v/>
      </c>
      <c r="J105" s="5"/>
      <c r="K105" s="5"/>
      <c r="L105" t="str">
        <f t="shared" si="7"/>
        <v/>
      </c>
    </row>
    <row r="106" spans="1:12" x14ac:dyDescent="0.3">
      <c r="A106" s="2">
        <v>103</v>
      </c>
      <c r="B106" s="3"/>
      <c r="C106" s="2"/>
      <c r="D106" s="2"/>
      <c r="E106" s="2"/>
      <c r="F106" s="2"/>
      <c r="G106" s="2"/>
      <c r="H106" s="2"/>
      <c r="I106" s="2" t="str">
        <f t="shared" si="6"/>
        <v/>
      </c>
      <c r="J106" s="3"/>
      <c r="K106" s="3"/>
      <c r="L106" t="str">
        <f t="shared" si="7"/>
        <v/>
      </c>
    </row>
    <row r="107" spans="1:12" x14ac:dyDescent="0.3">
      <c r="A107" s="4">
        <v>104</v>
      </c>
      <c r="B107" s="5"/>
      <c r="C107" s="4"/>
      <c r="D107" s="4"/>
      <c r="E107" s="4"/>
      <c r="F107" s="4"/>
      <c r="G107" s="4"/>
      <c r="H107" s="4"/>
      <c r="I107" s="4" t="str">
        <f t="shared" si="6"/>
        <v/>
      </c>
      <c r="J107" s="5"/>
      <c r="K107" s="5"/>
      <c r="L107" t="str">
        <f t="shared" si="7"/>
        <v/>
      </c>
    </row>
    <row r="108" spans="1:12" x14ac:dyDescent="0.3">
      <c r="A108" s="2">
        <v>105</v>
      </c>
      <c r="B108" s="3"/>
      <c r="C108" s="2"/>
      <c r="D108" s="2"/>
      <c r="E108" s="2"/>
      <c r="F108" s="2"/>
      <c r="G108" s="2"/>
      <c r="H108" s="2"/>
      <c r="I108" s="2" t="str">
        <f t="shared" si="6"/>
        <v/>
      </c>
      <c r="J108" s="3"/>
      <c r="K108" s="3"/>
      <c r="L108" t="str">
        <f t="shared" si="7"/>
        <v/>
      </c>
    </row>
    <row r="109" spans="1:12" x14ac:dyDescent="0.3">
      <c r="A109" s="4">
        <v>106</v>
      </c>
      <c r="B109" s="5"/>
      <c r="C109" s="4"/>
      <c r="D109" s="4"/>
      <c r="E109" s="4"/>
      <c r="F109" s="4"/>
      <c r="G109" s="4"/>
      <c r="H109" s="4"/>
      <c r="I109" s="4" t="str">
        <f t="shared" si="6"/>
        <v/>
      </c>
      <c r="J109" s="5"/>
      <c r="K109" s="5"/>
      <c r="L109" t="str">
        <f t="shared" si="7"/>
        <v/>
      </c>
    </row>
    <row r="110" spans="1:12" x14ac:dyDescent="0.3">
      <c r="A110" s="2">
        <v>107</v>
      </c>
      <c r="B110" s="3"/>
      <c r="C110" s="2"/>
      <c r="D110" s="2"/>
      <c r="E110" s="2"/>
      <c r="F110" s="2"/>
      <c r="G110" s="2"/>
      <c r="H110" s="2"/>
      <c r="I110" s="2" t="str">
        <f t="shared" si="6"/>
        <v/>
      </c>
      <c r="J110" s="3"/>
      <c r="K110" s="3"/>
      <c r="L110" t="str">
        <f t="shared" si="7"/>
        <v/>
      </c>
    </row>
    <row r="111" spans="1:12" x14ac:dyDescent="0.3">
      <c r="A111" s="4">
        <v>108</v>
      </c>
      <c r="B111" s="5"/>
      <c r="C111" s="4"/>
      <c r="D111" s="4"/>
      <c r="E111" s="4"/>
      <c r="F111" s="4"/>
      <c r="G111" s="4"/>
      <c r="H111" s="4"/>
      <c r="I111" s="4" t="str">
        <f t="shared" si="6"/>
        <v/>
      </c>
      <c r="J111" s="5"/>
      <c r="K111" s="5"/>
      <c r="L111" t="str">
        <f t="shared" si="7"/>
        <v/>
      </c>
    </row>
    <row r="112" spans="1:12" x14ac:dyDescent="0.3">
      <c r="A112" s="2">
        <v>109</v>
      </c>
      <c r="B112" s="3"/>
      <c r="C112" s="2"/>
      <c r="D112" s="2"/>
      <c r="E112" s="2"/>
      <c r="F112" s="2"/>
      <c r="G112" s="2"/>
      <c r="H112" s="2"/>
      <c r="I112" s="2" t="str">
        <f t="shared" si="6"/>
        <v/>
      </c>
      <c r="J112" s="3"/>
      <c r="K112" s="3"/>
      <c r="L112" t="str">
        <f t="shared" si="7"/>
        <v/>
      </c>
    </row>
    <row r="113" spans="1:12" x14ac:dyDescent="0.3">
      <c r="A113" s="4">
        <v>110</v>
      </c>
      <c r="B113" s="5"/>
      <c r="C113" s="4"/>
      <c r="D113" s="4"/>
      <c r="E113" s="4"/>
      <c r="F113" s="4"/>
      <c r="G113" s="4"/>
      <c r="H113" s="4"/>
      <c r="I113" s="4" t="str">
        <f t="shared" si="6"/>
        <v/>
      </c>
      <c r="J113" s="5"/>
      <c r="K113" s="5"/>
      <c r="L113" t="str">
        <f t="shared" si="7"/>
        <v/>
      </c>
    </row>
    <row r="114" spans="1:12" x14ac:dyDescent="0.3">
      <c r="A114" s="2">
        <v>111</v>
      </c>
      <c r="B114" s="3"/>
      <c r="C114" s="2"/>
      <c r="D114" s="2"/>
      <c r="E114" s="2"/>
      <c r="F114" s="2"/>
      <c r="G114" s="2"/>
      <c r="H114" s="2"/>
      <c r="I114" s="2" t="str">
        <f t="shared" si="6"/>
        <v/>
      </c>
      <c r="J114" s="3"/>
      <c r="K114" s="3"/>
      <c r="L114" t="str">
        <f t="shared" si="7"/>
        <v/>
      </c>
    </row>
    <row r="115" spans="1:12" x14ac:dyDescent="0.3">
      <c r="A115" s="4">
        <v>112</v>
      </c>
      <c r="B115" s="5"/>
      <c r="C115" s="4"/>
      <c r="D115" s="4"/>
      <c r="E115" s="4"/>
      <c r="F115" s="4"/>
      <c r="G115" s="4"/>
      <c r="H115" s="4"/>
      <c r="I115" s="4" t="str">
        <f t="shared" si="6"/>
        <v/>
      </c>
      <c r="J115" s="5"/>
      <c r="K115" s="5"/>
      <c r="L115" t="str">
        <f t="shared" si="7"/>
        <v/>
      </c>
    </row>
    <row r="116" spans="1:12" x14ac:dyDescent="0.3">
      <c r="A116" s="2">
        <v>113</v>
      </c>
      <c r="B116" s="3"/>
      <c r="C116" s="2"/>
      <c r="D116" s="2"/>
      <c r="E116" s="2"/>
      <c r="F116" s="2"/>
      <c r="G116" s="2"/>
      <c r="H116" s="2"/>
      <c r="I116" s="2" t="str">
        <f t="shared" si="6"/>
        <v/>
      </c>
      <c r="J116" s="3"/>
      <c r="K116" s="3"/>
      <c r="L116" t="str">
        <f t="shared" si="7"/>
        <v/>
      </c>
    </row>
    <row r="117" spans="1:12" x14ac:dyDescent="0.3">
      <c r="A117" s="4">
        <v>114</v>
      </c>
      <c r="B117" s="5"/>
      <c r="C117" s="4"/>
      <c r="D117" s="4"/>
      <c r="E117" s="4"/>
      <c r="F117" s="4"/>
      <c r="G117" s="4"/>
      <c r="H117" s="4"/>
      <c r="I117" s="4" t="str">
        <f t="shared" si="6"/>
        <v/>
      </c>
      <c r="J117" s="5"/>
      <c r="K117" s="5"/>
      <c r="L117" t="str">
        <f t="shared" si="7"/>
        <v/>
      </c>
    </row>
    <row r="118" spans="1:12" x14ac:dyDescent="0.3">
      <c r="A118" s="2">
        <v>115</v>
      </c>
      <c r="B118" s="3"/>
      <c r="C118" s="2"/>
      <c r="D118" s="2"/>
      <c r="E118" s="2"/>
      <c r="F118" s="2"/>
      <c r="G118" s="2"/>
      <c r="H118" s="2"/>
      <c r="I118" s="2" t="str">
        <f t="shared" si="6"/>
        <v/>
      </c>
      <c r="J118" s="3"/>
      <c r="K118" s="3"/>
      <c r="L118" t="str">
        <f t="shared" si="7"/>
        <v/>
      </c>
    </row>
    <row r="119" spans="1:12" x14ac:dyDescent="0.3">
      <c r="A119" s="4">
        <v>116</v>
      </c>
      <c r="B119" s="5"/>
      <c r="C119" s="4"/>
      <c r="D119" s="4"/>
      <c r="E119" s="4"/>
      <c r="F119" s="4"/>
      <c r="G119" s="4"/>
      <c r="H119" s="4"/>
      <c r="I119" s="4" t="str">
        <f t="shared" si="6"/>
        <v/>
      </c>
      <c r="J119" s="5"/>
      <c r="K119" s="5"/>
      <c r="L119" t="str">
        <f t="shared" si="7"/>
        <v/>
      </c>
    </row>
    <row r="120" spans="1:12" x14ac:dyDescent="0.3">
      <c r="A120" s="2">
        <v>117</v>
      </c>
      <c r="B120" s="3"/>
      <c r="C120" s="2"/>
      <c r="D120" s="2"/>
      <c r="E120" s="2"/>
      <c r="F120" s="2"/>
      <c r="G120" s="2"/>
      <c r="H120" s="2"/>
      <c r="I120" s="2" t="str">
        <f t="shared" si="6"/>
        <v/>
      </c>
      <c r="J120" s="3"/>
      <c r="K120" s="3"/>
      <c r="L120" t="str">
        <f t="shared" si="7"/>
        <v/>
      </c>
    </row>
    <row r="121" spans="1:12" x14ac:dyDescent="0.3">
      <c r="A121" s="4">
        <v>118</v>
      </c>
      <c r="B121" s="5"/>
      <c r="C121" s="4"/>
      <c r="D121" s="4"/>
      <c r="E121" s="4"/>
      <c r="F121" s="4"/>
      <c r="G121" s="4"/>
      <c r="H121" s="4"/>
      <c r="I121" s="4" t="str">
        <f t="shared" si="6"/>
        <v/>
      </c>
      <c r="J121" s="5"/>
      <c r="K121" s="5"/>
      <c r="L121" t="str">
        <f t="shared" si="7"/>
        <v/>
      </c>
    </row>
    <row r="122" spans="1:12" x14ac:dyDescent="0.3">
      <c r="A122" s="2">
        <v>119</v>
      </c>
      <c r="B122" s="3"/>
      <c r="C122" s="2"/>
      <c r="D122" s="2"/>
      <c r="E122" s="2"/>
      <c r="F122" s="2"/>
      <c r="G122" s="2"/>
      <c r="H122" s="2"/>
      <c r="I122" s="2" t="str">
        <f t="shared" si="6"/>
        <v/>
      </c>
      <c r="J122" s="3"/>
      <c r="K122" s="3"/>
      <c r="L122" t="str">
        <f t="shared" si="7"/>
        <v/>
      </c>
    </row>
    <row r="123" spans="1:12" x14ac:dyDescent="0.3">
      <c r="A123" s="4">
        <v>120</v>
      </c>
      <c r="B123" s="5"/>
      <c r="C123" s="4"/>
      <c r="D123" s="4"/>
      <c r="E123" s="4"/>
      <c r="F123" s="4"/>
      <c r="G123" s="4"/>
      <c r="H123" s="4"/>
      <c r="I123" s="4" t="str">
        <f t="shared" si="6"/>
        <v/>
      </c>
      <c r="J123" s="5"/>
      <c r="K123" s="5"/>
      <c r="L123" t="str">
        <f t="shared" si="7"/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3"/>
  <sheetViews>
    <sheetView showGridLines="0" tabSelected="1" workbookViewId="0">
      <pane ySplit="3" topLeftCell="A4" activePane="bottomLeft" state="frozen"/>
      <selection pane="bottomLeft" sqref="A1:K1"/>
    </sheetView>
  </sheetViews>
  <sheetFormatPr baseColWidth="10" defaultColWidth="8.88671875" defaultRowHeight="14.4" x14ac:dyDescent="0.3"/>
  <cols>
    <col min="1" max="1" width="7" customWidth="1"/>
    <col min="2" max="2" width="27" customWidth="1"/>
    <col min="3" max="8" width="12" customWidth="1"/>
    <col min="9" max="9" width="11" customWidth="1"/>
    <col min="10" max="10" width="18" customWidth="1"/>
    <col min="11" max="11" width="24" customWidth="1"/>
  </cols>
  <sheetData>
    <row r="1" spans="1:11" ht="23.4" x14ac:dyDescent="0.45">
      <c r="A1" s="8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">
      <c r="A2" s="6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3">
      <c r="A4" s="2" t="str">
        <f>IF(I4="","",1)</f>
        <v/>
      </c>
      <c r="B4" s="3" t="str">
        <f>IFERROR(INDEX('ENTRADA DATOS'!$B$4:$B$123,MATCH(LARGE('ENTRADA DATOS'!$L$4:$L$123,1),'ENTRADA DATOS'!$L$4:$L$123,0)),"")</f>
        <v/>
      </c>
      <c r="C4" s="2" t="str">
        <f>IFERROR(INDEX('ENTRADA DATOS'!$C$4:$C$123,MATCH(LARGE('ENTRADA DATOS'!$L$4:$L$123,1),'ENTRADA DATOS'!$L$4:$L$123,0)),"")</f>
        <v/>
      </c>
      <c r="D4" s="2" t="str">
        <f>IFERROR(INDEX('ENTRADA DATOS'!$D$4:$D$123,MATCH(LARGE('ENTRADA DATOS'!$L$4:$L$123,1),'ENTRADA DATOS'!$L$4:$L$123,0)),"")</f>
        <v/>
      </c>
      <c r="E4" s="2" t="str">
        <f>IFERROR(INDEX('ENTRADA DATOS'!$E$4:$E$123,MATCH(LARGE('ENTRADA DATOS'!$L$4:$L$123,1),'ENTRADA DATOS'!$L$4:$L$123,0)),"")</f>
        <v/>
      </c>
      <c r="F4" s="2" t="str">
        <f>IFERROR(INDEX('ENTRADA DATOS'!$F$4:$F$123,MATCH(LARGE('ENTRADA DATOS'!$L$4:$L$123,1),'ENTRADA DATOS'!$L$4:$L$123,0)),"")</f>
        <v/>
      </c>
      <c r="G4" s="2" t="str">
        <f>IFERROR(INDEX('ENTRADA DATOS'!$G$4:$G$123,MATCH(LARGE('ENTRADA DATOS'!$L$4:$L$123,1),'ENTRADA DATOS'!$L$4:$L$123,0)),"")</f>
        <v/>
      </c>
      <c r="H4" s="2" t="str">
        <f>IFERROR(INDEX('ENTRADA DATOS'!$H$4:$H$123,MATCH(LARGE('ENTRADA DATOS'!$L$4:$L$123,1),'ENTRADA DATOS'!$L$4:$L$123,0)),"")</f>
        <v/>
      </c>
      <c r="I4" s="2" t="str">
        <f>IFERROR(INDEX('ENTRADA DATOS'!$I$4:$I$123,MATCH(LARGE('ENTRADA DATOS'!$L$4:$L$123,1),'ENTRADA DATOS'!$L$4:$L$123,0)),"")</f>
        <v/>
      </c>
      <c r="J4" s="3" t="str">
        <f>IFERROR(INDEX('ENTRADA DATOS'!$J$4:$J$123,MATCH(LARGE('ENTRADA DATOS'!$L$4:$L$123,1),'ENTRADA DATOS'!$L$4:$L$123,0)),"")</f>
        <v/>
      </c>
      <c r="K4" s="3" t="str">
        <f>IFERROR(INDEX('ENTRADA DATOS'!$K$4:$K$123,MATCH(LARGE('ENTRADA DATOS'!$L$4:$L$123,1),'ENTRADA DATOS'!$L$4:$L$123,0)),"")</f>
        <v/>
      </c>
    </row>
    <row r="5" spans="1:11" x14ac:dyDescent="0.3">
      <c r="A5" s="4" t="str">
        <f>IF(I5="","",2)</f>
        <v/>
      </c>
      <c r="B5" s="5" t="str">
        <f>IFERROR(INDEX('ENTRADA DATOS'!$B$4:$B$123,MATCH(LARGE('ENTRADA DATOS'!$L$4:$L$123,2),'ENTRADA DATOS'!$L$4:$L$123,0)),"")</f>
        <v/>
      </c>
      <c r="C5" s="4" t="str">
        <f>IFERROR(INDEX('ENTRADA DATOS'!$C$4:$C$123,MATCH(LARGE('ENTRADA DATOS'!$L$4:$L$123,2),'ENTRADA DATOS'!$L$4:$L$123,0)),"")</f>
        <v/>
      </c>
      <c r="D5" s="4" t="str">
        <f>IFERROR(INDEX('ENTRADA DATOS'!$D$4:$D$123,MATCH(LARGE('ENTRADA DATOS'!$L$4:$L$123,2),'ENTRADA DATOS'!$L$4:$L$123,0)),"")</f>
        <v/>
      </c>
      <c r="E5" s="4" t="str">
        <f>IFERROR(INDEX('ENTRADA DATOS'!$E$4:$E$123,MATCH(LARGE('ENTRADA DATOS'!$L$4:$L$123,2),'ENTRADA DATOS'!$L$4:$L$123,0)),"")</f>
        <v/>
      </c>
      <c r="F5" s="4" t="str">
        <f>IFERROR(INDEX('ENTRADA DATOS'!$F$4:$F$123,MATCH(LARGE('ENTRADA DATOS'!$L$4:$L$123,2),'ENTRADA DATOS'!$L$4:$L$123,0)),"")</f>
        <v/>
      </c>
      <c r="G5" s="4" t="str">
        <f>IFERROR(INDEX('ENTRADA DATOS'!$G$4:$G$123,MATCH(LARGE('ENTRADA DATOS'!$L$4:$L$123,2),'ENTRADA DATOS'!$L$4:$L$123,0)),"")</f>
        <v/>
      </c>
      <c r="H5" s="4" t="str">
        <f>IFERROR(INDEX('ENTRADA DATOS'!$H$4:$H$123,MATCH(LARGE('ENTRADA DATOS'!$L$4:$L$123,2),'ENTRADA DATOS'!$L$4:$L$123,0)),"")</f>
        <v/>
      </c>
      <c r="I5" s="4" t="str">
        <f>IFERROR(INDEX('ENTRADA DATOS'!$I$4:$I$123,MATCH(LARGE('ENTRADA DATOS'!$L$4:$L$123,2),'ENTRADA DATOS'!$L$4:$L$123,0)),"")</f>
        <v/>
      </c>
      <c r="J5" s="5" t="str">
        <f>IFERROR(INDEX('ENTRADA DATOS'!$J$4:$J$123,MATCH(LARGE('ENTRADA DATOS'!$L$4:$L$123,2),'ENTRADA DATOS'!$L$4:$L$123,0)),"")</f>
        <v/>
      </c>
      <c r="K5" s="5" t="str">
        <f>IFERROR(INDEX('ENTRADA DATOS'!$K$4:$K$123,MATCH(LARGE('ENTRADA DATOS'!$L$4:$L$123,2),'ENTRADA DATOS'!$L$4:$L$123,0)),"")</f>
        <v/>
      </c>
    </row>
    <row r="6" spans="1:11" x14ac:dyDescent="0.3">
      <c r="A6" s="2" t="str">
        <f>IF(I6="","",3)</f>
        <v/>
      </c>
      <c r="B6" s="3" t="str">
        <f>IFERROR(INDEX('ENTRADA DATOS'!$B$4:$B$123,MATCH(LARGE('ENTRADA DATOS'!$L$4:$L$123,3),'ENTRADA DATOS'!$L$4:$L$123,0)),"")</f>
        <v/>
      </c>
      <c r="C6" s="2" t="str">
        <f>IFERROR(INDEX('ENTRADA DATOS'!$C$4:$C$123,MATCH(LARGE('ENTRADA DATOS'!$L$4:$L$123,3),'ENTRADA DATOS'!$L$4:$L$123,0)),"")</f>
        <v/>
      </c>
      <c r="D6" s="2" t="str">
        <f>IFERROR(INDEX('ENTRADA DATOS'!$D$4:$D$123,MATCH(LARGE('ENTRADA DATOS'!$L$4:$L$123,3),'ENTRADA DATOS'!$L$4:$L$123,0)),"")</f>
        <v/>
      </c>
      <c r="E6" s="2" t="str">
        <f>IFERROR(INDEX('ENTRADA DATOS'!$E$4:$E$123,MATCH(LARGE('ENTRADA DATOS'!$L$4:$L$123,3),'ENTRADA DATOS'!$L$4:$L$123,0)),"")</f>
        <v/>
      </c>
      <c r="F6" s="2" t="str">
        <f>IFERROR(INDEX('ENTRADA DATOS'!$F$4:$F$123,MATCH(LARGE('ENTRADA DATOS'!$L$4:$L$123,3),'ENTRADA DATOS'!$L$4:$L$123,0)),"")</f>
        <v/>
      </c>
      <c r="G6" s="2" t="str">
        <f>IFERROR(INDEX('ENTRADA DATOS'!$G$4:$G$123,MATCH(LARGE('ENTRADA DATOS'!$L$4:$L$123,3),'ENTRADA DATOS'!$L$4:$L$123,0)),"")</f>
        <v/>
      </c>
      <c r="H6" s="2" t="str">
        <f>IFERROR(INDEX('ENTRADA DATOS'!$H$4:$H$123,MATCH(LARGE('ENTRADA DATOS'!$L$4:$L$123,3),'ENTRADA DATOS'!$L$4:$L$123,0)),"")</f>
        <v/>
      </c>
      <c r="I6" s="2" t="str">
        <f>IFERROR(INDEX('ENTRADA DATOS'!$I$4:$I$123,MATCH(LARGE('ENTRADA DATOS'!$L$4:$L$123,3),'ENTRADA DATOS'!$L$4:$L$123,0)),"")</f>
        <v/>
      </c>
      <c r="J6" s="3" t="str">
        <f>IFERROR(INDEX('ENTRADA DATOS'!$J$4:$J$123,MATCH(LARGE('ENTRADA DATOS'!$L$4:$L$123,3),'ENTRADA DATOS'!$L$4:$L$123,0)),"")</f>
        <v/>
      </c>
      <c r="K6" s="3" t="str">
        <f>IFERROR(INDEX('ENTRADA DATOS'!$K$4:$K$123,MATCH(LARGE('ENTRADA DATOS'!$L$4:$L$123,3),'ENTRADA DATOS'!$L$4:$L$123,0)),"")</f>
        <v/>
      </c>
    </row>
    <row r="7" spans="1:11" x14ac:dyDescent="0.3">
      <c r="A7" s="4" t="str">
        <f>IF(I7="","",4)</f>
        <v/>
      </c>
      <c r="B7" s="5" t="str">
        <f>IFERROR(INDEX('ENTRADA DATOS'!$B$4:$B$123,MATCH(LARGE('ENTRADA DATOS'!$L$4:$L$123,4),'ENTRADA DATOS'!$L$4:$L$123,0)),"")</f>
        <v/>
      </c>
      <c r="C7" s="4" t="str">
        <f>IFERROR(INDEX('ENTRADA DATOS'!$C$4:$C$123,MATCH(LARGE('ENTRADA DATOS'!$L$4:$L$123,4),'ENTRADA DATOS'!$L$4:$L$123,0)),"")</f>
        <v/>
      </c>
      <c r="D7" s="4" t="str">
        <f>IFERROR(INDEX('ENTRADA DATOS'!$D$4:$D$123,MATCH(LARGE('ENTRADA DATOS'!$L$4:$L$123,4),'ENTRADA DATOS'!$L$4:$L$123,0)),"")</f>
        <v/>
      </c>
      <c r="E7" s="4" t="str">
        <f>IFERROR(INDEX('ENTRADA DATOS'!$E$4:$E$123,MATCH(LARGE('ENTRADA DATOS'!$L$4:$L$123,4),'ENTRADA DATOS'!$L$4:$L$123,0)),"")</f>
        <v/>
      </c>
      <c r="F7" s="4" t="str">
        <f>IFERROR(INDEX('ENTRADA DATOS'!$F$4:$F$123,MATCH(LARGE('ENTRADA DATOS'!$L$4:$L$123,4),'ENTRADA DATOS'!$L$4:$L$123,0)),"")</f>
        <v/>
      </c>
      <c r="G7" s="4" t="str">
        <f>IFERROR(INDEX('ENTRADA DATOS'!$G$4:$G$123,MATCH(LARGE('ENTRADA DATOS'!$L$4:$L$123,4),'ENTRADA DATOS'!$L$4:$L$123,0)),"")</f>
        <v/>
      </c>
      <c r="H7" s="4" t="str">
        <f>IFERROR(INDEX('ENTRADA DATOS'!$H$4:$H$123,MATCH(LARGE('ENTRADA DATOS'!$L$4:$L$123,4),'ENTRADA DATOS'!$L$4:$L$123,0)),"")</f>
        <v/>
      </c>
      <c r="I7" s="4" t="str">
        <f>IFERROR(INDEX('ENTRADA DATOS'!$I$4:$I$123,MATCH(LARGE('ENTRADA DATOS'!$L$4:$L$123,4),'ENTRADA DATOS'!$L$4:$L$123,0)),"")</f>
        <v/>
      </c>
      <c r="J7" s="5" t="str">
        <f>IFERROR(INDEX('ENTRADA DATOS'!$J$4:$J$123,MATCH(LARGE('ENTRADA DATOS'!$L$4:$L$123,4),'ENTRADA DATOS'!$L$4:$L$123,0)),"")</f>
        <v/>
      </c>
      <c r="K7" s="5" t="str">
        <f>IFERROR(INDEX('ENTRADA DATOS'!$K$4:$K$123,MATCH(LARGE('ENTRADA DATOS'!$L$4:$L$123,4),'ENTRADA DATOS'!$L$4:$L$123,0)),"")</f>
        <v/>
      </c>
    </row>
    <row r="8" spans="1:11" x14ac:dyDescent="0.3">
      <c r="A8" s="2" t="str">
        <f>IF(I8="","",5)</f>
        <v/>
      </c>
      <c r="B8" s="3" t="str">
        <f>IFERROR(INDEX('ENTRADA DATOS'!$B$4:$B$123,MATCH(LARGE('ENTRADA DATOS'!$L$4:$L$123,5),'ENTRADA DATOS'!$L$4:$L$123,0)),"")</f>
        <v/>
      </c>
      <c r="C8" s="2" t="str">
        <f>IFERROR(INDEX('ENTRADA DATOS'!$C$4:$C$123,MATCH(LARGE('ENTRADA DATOS'!$L$4:$L$123,5),'ENTRADA DATOS'!$L$4:$L$123,0)),"")</f>
        <v/>
      </c>
      <c r="D8" s="2" t="str">
        <f>IFERROR(INDEX('ENTRADA DATOS'!$D$4:$D$123,MATCH(LARGE('ENTRADA DATOS'!$L$4:$L$123,5),'ENTRADA DATOS'!$L$4:$L$123,0)),"")</f>
        <v/>
      </c>
      <c r="E8" s="2" t="str">
        <f>IFERROR(INDEX('ENTRADA DATOS'!$E$4:$E$123,MATCH(LARGE('ENTRADA DATOS'!$L$4:$L$123,5),'ENTRADA DATOS'!$L$4:$L$123,0)),"")</f>
        <v/>
      </c>
      <c r="F8" s="2" t="str">
        <f>IFERROR(INDEX('ENTRADA DATOS'!$F$4:$F$123,MATCH(LARGE('ENTRADA DATOS'!$L$4:$L$123,5),'ENTRADA DATOS'!$L$4:$L$123,0)),"")</f>
        <v/>
      </c>
      <c r="G8" s="2" t="str">
        <f>IFERROR(INDEX('ENTRADA DATOS'!$G$4:$G$123,MATCH(LARGE('ENTRADA DATOS'!$L$4:$L$123,5),'ENTRADA DATOS'!$L$4:$L$123,0)),"")</f>
        <v/>
      </c>
      <c r="H8" s="2" t="str">
        <f>IFERROR(INDEX('ENTRADA DATOS'!$H$4:$H$123,MATCH(LARGE('ENTRADA DATOS'!$L$4:$L$123,5),'ENTRADA DATOS'!$L$4:$L$123,0)),"")</f>
        <v/>
      </c>
      <c r="I8" s="2" t="str">
        <f>IFERROR(INDEX('ENTRADA DATOS'!$I$4:$I$123,MATCH(LARGE('ENTRADA DATOS'!$L$4:$L$123,5),'ENTRADA DATOS'!$L$4:$L$123,0)),"")</f>
        <v/>
      </c>
      <c r="J8" s="3" t="str">
        <f>IFERROR(INDEX('ENTRADA DATOS'!$J$4:$J$123,MATCH(LARGE('ENTRADA DATOS'!$L$4:$L$123,5),'ENTRADA DATOS'!$L$4:$L$123,0)),"")</f>
        <v/>
      </c>
      <c r="K8" s="3" t="str">
        <f>IFERROR(INDEX('ENTRADA DATOS'!$K$4:$K$123,MATCH(LARGE('ENTRADA DATOS'!$L$4:$L$123,5),'ENTRADA DATOS'!$L$4:$L$123,0)),"")</f>
        <v/>
      </c>
    </row>
    <row r="9" spans="1:11" x14ac:dyDescent="0.3">
      <c r="A9" s="4" t="str">
        <f>IF(I9="","",6)</f>
        <v/>
      </c>
      <c r="B9" s="5" t="str">
        <f>IFERROR(INDEX('ENTRADA DATOS'!$B$4:$B$123,MATCH(LARGE('ENTRADA DATOS'!$L$4:$L$123,6),'ENTRADA DATOS'!$L$4:$L$123,0)),"")</f>
        <v/>
      </c>
      <c r="C9" s="4" t="str">
        <f>IFERROR(INDEX('ENTRADA DATOS'!$C$4:$C$123,MATCH(LARGE('ENTRADA DATOS'!$L$4:$L$123,6),'ENTRADA DATOS'!$L$4:$L$123,0)),"")</f>
        <v/>
      </c>
      <c r="D9" s="4" t="str">
        <f>IFERROR(INDEX('ENTRADA DATOS'!$D$4:$D$123,MATCH(LARGE('ENTRADA DATOS'!$L$4:$L$123,6),'ENTRADA DATOS'!$L$4:$L$123,0)),"")</f>
        <v/>
      </c>
      <c r="E9" s="4" t="str">
        <f>IFERROR(INDEX('ENTRADA DATOS'!$E$4:$E$123,MATCH(LARGE('ENTRADA DATOS'!$L$4:$L$123,6),'ENTRADA DATOS'!$L$4:$L$123,0)),"")</f>
        <v/>
      </c>
      <c r="F9" s="4" t="str">
        <f>IFERROR(INDEX('ENTRADA DATOS'!$F$4:$F$123,MATCH(LARGE('ENTRADA DATOS'!$L$4:$L$123,6),'ENTRADA DATOS'!$L$4:$L$123,0)),"")</f>
        <v/>
      </c>
      <c r="G9" s="4" t="str">
        <f>IFERROR(INDEX('ENTRADA DATOS'!$G$4:$G$123,MATCH(LARGE('ENTRADA DATOS'!$L$4:$L$123,6),'ENTRADA DATOS'!$L$4:$L$123,0)),"")</f>
        <v/>
      </c>
      <c r="H9" s="4" t="str">
        <f>IFERROR(INDEX('ENTRADA DATOS'!$H$4:$H$123,MATCH(LARGE('ENTRADA DATOS'!$L$4:$L$123,6),'ENTRADA DATOS'!$L$4:$L$123,0)),"")</f>
        <v/>
      </c>
      <c r="I9" s="4" t="str">
        <f>IFERROR(INDEX('ENTRADA DATOS'!$I$4:$I$123,MATCH(LARGE('ENTRADA DATOS'!$L$4:$L$123,6),'ENTRADA DATOS'!$L$4:$L$123,0)),"")</f>
        <v/>
      </c>
      <c r="J9" s="5" t="str">
        <f>IFERROR(INDEX('ENTRADA DATOS'!$J$4:$J$123,MATCH(LARGE('ENTRADA DATOS'!$L$4:$L$123,6),'ENTRADA DATOS'!$L$4:$L$123,0)),"")</f>
        <v/>
      </c>
      <c r="K9" s="5" t="str">
        <f>IFERROR(INDEX('ENTRADA DATOS'!$K$4:$K$123,MATCH(LARGE('ENTRADA DATOS'!$L$4:$L$123,6),'ENTRADA DATOS'!$L$4:$L$123,0)),"")</f>
        <v/>
      </c>
    </row>
    <row r="10" spans="1:11" x14ac:dyDescent="0.3">
      <c r="A10" s="2" t="str">
        <f>IF(I10="","",7)</f>
        <v/>
      </c>
      <c r="B10" s="3" t="str">
        <f>IFERROR(INDEX('ENTRADA DATOS'!$B$4:$B$123,MATCH(LARGE('ENTRADA DATOS'!$L$4:$L$123,7),'ENTRADA DATOS'!$L$4:$L$123,0)),"")</f>
        <v/>
      </c>
      <c r="C10" s="2" t="str">
        <f>IFERROR(INDEX('ENTRADA DATOS'!$C$4:$C$123,MATCH(LARGE('ENTRADA DATOS'!$L$4:$L$123,7),'ENTRADA DATOS'!$L$4:$L$123,0)),"")</f>
        <v/>
      </c>
      <c r="D10" s="2" t="str">
        <f>IFERROR(INDEX('ENTRADA DATOS'!$D$4:$D$123,MATCH(LARGE('ENTRADA DATOS'!$L$4:$L$123,7),'ENTRADA DATOS'!$L$4:$L$123,0)),"")</f>
        <v/>
      </c>
      <c r="E10" s="2" t="str">
        <f>IFERROR(INDEX('ENTRADA DATOS'!$E$4:$E$123,MATCH(LARGE('ENTRADA DATOS'!$L$4:$L$123,7),'ENTRADA DATOS'!$L$4:$L$123,0)),"")</f>
        <v/>
      </c>
      <c r="F10" s="2" t="str">
        <f>IFERROR(INDEX('ENTRADA DATOS'!$F$4:$F$123,MATCH(LARGE('ENTRADA DATOS'!$L$4:$L$123,7),'ENTRADA DATOS'!$L$4:$L$123,0)),"")</f>
        <v/>
      </c>
      <c r="G10" s="2" t="str">
        <f>IFERROR(INDEX('ENTRADA DATOS'!$G$4:$G$123,MATCH(LARGE('ENTRADA DATOS'!$L$4:$L$123,7),'ENTRADA DATOS'!$L$4:$L$123,0)),"")</f>
        <v/>
      </c>
      <c r="H10" s="2" t="str">
        <f>IFERROR(INDEX('ENTRADA DATOS'!$H$4:$H$123,MATCH(LARGE('ENTRADA DATOS'!$L$4:$L$123,7),'ENTRADA DATOS'!$L$4:$L$123,0)),"")</f>
        <v/>
      </c>
      <c r="I10" s="2" t="str">
        <f>IFERROR(INDEX('ENTRADA DATOS'!$I$4:$I$123,MATCH(LARGE('ENTRADA DATOS'!$L$4:$L$123,7),'ENTRADA DATOS'!$L$4:$L$123,0)),"")</f>
        <v/>
      </c>
      <c r="J10" s="3" t="str">
        <f>IFERROR(INDEX('ENTRADA DATOS'!$J$4:$J$123,MATCH(LARGE('ENTRADA DATOS'!$L$4:$L$123,7),'ENTRADA DATOS'!$L$4:$L$123,0)),"")</f>
        <v/>
      </c>
      <c r="K10" s="3" t="str">
        <f>IFERROR(INDEX('ENTRADA DATOS'!$K$4:$K$123,MATCH(LARGE('ENTRADA DATOS'!$L$4:$L$123,7),'ENTRADA DATOS'!$L$4:$L$123,0)),"")</f>
        <v/>
      </c>
    </row>
    <row r="11" spans="1:11" x14ac:dyDescent="0.3">
      <c r="A11" s="4" t="str">
        <f>IF(I11="","",8)</f>
        <v/>
      </c>
      <c r="B11" s="5" t="str">
        <f>IFERROR(INDEX('ENTRADA DATOS'!$B$4:$B$123,MATCH(LARGE('ENTRADA DATOS'!$L$4:$L$123,8),'ENTRADA DATOS'!$L$4:$L$123,0)),"")</f>
        <v/>
      </c>
      <c r="C11" s="4" t="str">
        <f>IFERROR(INDEX('ENTRADA DATOS'!$C$4:$C$123,MATCH(LARGE('ENTRADA DATOS'!$L$4:$L$123,8),'ENTRADA DATOS'!$L$4:$L$123,0)),"")</f>
        <v/>
      </c>
      <c r="D11" s="4" t="str">
        <f>IFERROR(INDEX('ENTRADA DATOS'!$D$4:$D$123,MATCH(LARGE('ENTRADA DATOS'!$L$4:$L$123,8),'ENTRADA DATOS'!$L$4:$L$123,0)),"")</f>
        <v/>
      </c>
      <c r="E11" s="4" t="str">
        <f>IFERROR(INDEX('ENTRADA DATOS'!$E$4:$E$123,MATCH(LARGE('ENTRADA DATOS'!$L$4:$L$123,8),'ENTRADA DATOS'!$L$4:$L$123,0)),"")</f>
        <v/>
      </c>
      <c r="F11" s="4" t="str">
        <f>IFERROR(INDEX('ENTRADA DATOS'!$F$4:$F$123,MATCH(LARGE('ENTRADA DATOS'!$L$4:$L$123,8),'ENTRADA DATOS'!$L$4:$L$123,0)),"")</f>
        <v/>
      </c>
      <c r="G11" s="4" t="str">
        <f>IFERROR(INDEX('ENTRADA DATOS'!$G$4:$G$123,MATCH(LARGE('ENTRADA DATOS'!$L$4:$L$123,8),'ENTRADA DATOS'!$L$4:$L$123,0)),"")</f>
        <v/>
      </c>
      <c r="H11" s="4" t="str">
        <f>IFERROR(INDEX('ENTRADA DATOS'!$H$4:$H$123,MATCH(LARGE('ENTRADA DATOS'!$L$4:$L$123,8),'ENTRADA DATOS'!$L$4:$L$123,0)),"")</f>
        <v/>
      </c>
      <c r="I11" s="4" t="str">
        <f>IFERROR(INDEX('ENTRADA DATOS'!$I$4:$I$123,MATCH(LARGE('ENTRADA DATOS'!$L$4:$L$123,8),'ENTRADA DATOS'!$L$4:$L$123,0)),"")</f>
        <v/>
      </c>
      <c r="J11" s="5" t="str">
        <f>IFERROR(INDEX('ENTRADA DATOS'!$J$4:$J$123,MATCH(LARGE('ENTRADA DATOS'!$L$4:$L$123,8),'ENTRADA DATOS'!$L$4:$L$123,0)),"")</f>
        <v/>
      </c>
      <c r="K11" s="5" t="str">
        <f>IFERROR(INDEX('ENTRADA DATOS'!$K$4:$K$123,MATCH(LARGE('ENTRADA DATOS'!$L$4:$L$123,8),'ENTRADA DATOS'!$L$4:$L$123,0)),"")</f>
        <v/>
      </c>
    </row>
    <row r="12" spans="1:11" x14ac:dyDescent="0.3">
      <c r="A12" s="2" t="str">
        <f>IF(I12="","",9)</f>
        <v/>
      </c>
      <c r="B12" s="3" t="str">
        <f>IFERROR(INDEX('ENTRADA DATOS'!$B$4:$B$123,MATCH(LARGE('ENTRADA DATOS'!$L$4:$L$123,9),'ENTRADA DATOS'!$L$4:$L$123,0)),"")</f>
        <v/>
      </c>
      <c r="C12" s="2" t="str">
        <f>IFERROR(INDEX('ENTRADA DATOS'!$C$4:$C$123,MATCH(LARGE('ENTRADA DATOS'!$L$4:$L$123,9),'ENTRADA DATOS'!$L$4:$L$123,0)),"")</f>
        <v/>
      </c>
      <c r="D12" s="2" t="str">
        <f>IFERROR(INDEX('ENTRADA DATOS'!$D$4:$D$123,MATCH(LARGE('ENTRADA DATOS'!$L$4:$L$123,9),'ENTRADA DATOS'!$L$4:$L$123,0)),"")</f>
        <v/>
      </c>
      <c r="E12" s="2" t="str">
        <f>IFERROR(INDEX('ENTRADA DATOS'!$E$4:$E$123,MATCH(LARGE('ENTRADA DATOS'!$L$4:$L$123,9),'ENTRADA DATOS'!$L$4:$L$123,0)),"")</f>
        <v/>
      </c>
      <c r="F12" s="2" t="str">
        <f>IFERROR(INDEX('ENTRADA DATOS'!$F$4:$F$123,MATCH(LARGE('ENTRADA DATOS'!$L$4:$L$123,9),'ENTRADA DATOS'!$L$4:$L$123,0)),"")</f>
        <v/>
      </c>
      <c r="G12" s="2" t="str">
        <f>IFERROR(INDEX('ENTRADA DATOS'!$G$4:$G$123,MATCH(LARGE('ENTRADA DATOS'!$L$4:$L$123,9),'ENTRADA DATOS'!$L$4:$L$123,0)),"")</f>
        <v/>
      </c>
      <c r="H12" s="2" t="str">
        <f>IFERROR(INDEX('ENTRADA DATOS'!$H$4:$H$123,MATCH(LARGE('ENTRADA DATOS'!$L$4:$L$123,9),'ENTRADA DATOS'!$L$4:$L$123,0)),"")</f>
        <v/>
      </c>
      <c r="I12" s="2" t="str">
        <f>IFERROR(INDEX('ENTRADA DATOS'!$I$4:$I$123,MATCH(LARGE('ENTRADA DATOS'!$L$4:$L$123,9),'ENTRADA DATOS'!$L$4:$L$123,0)),"")</f>
        <v/>
      </c>
      <c r="J12" s="3" t="str">
        <f>IFERROR(INDEX('ENTRADA DATOS'!$J$4:$J$123,MATCH(LARGE('ENTRADA DATOS'!$L$4:$L$123,9),'ENTRADA DATOS'!$L$4:$L$123,0)),"")</f>
        <v/>
      </c>
      <c r="K12" s="3" t="str">
        <f>IFERROR(INDEX('ENTRADA DATOS'!$K$4:$K$123,MATCH(LARGE('ENTRADA DATOS'!$L$4:$L$123,9),'ENTRADA DATOS'!$L$4:$L$123,0)),"")</f>
        <v/>
      </c>
    </row>
    <row r="13" spans="1:11" x14ac:dyDescent="0.3">
      <c r="A13" s="4" t="str">
        <f>IF(I13="","",10)</f>
        <v/>
      </c>
      <c r="B13" s="5" t="str">
        <f>IFERROR(INDEX('ENTRADA DATOS'!$B$4:$B$123,MATCH(LARGE('ENTRADA DATOS'!$L$4:$L$123,10),'ENTRADA DATOS'!$L$4:$L$123,0)),"")</f>
        <v/>
      </c>
      <c r="C13" s="4" t="str">
        <f>IFERROR(INDEX('ENTRADA DATOS'!$C$4:$C$123,MATCH(LARGE('ENTRADA DATOS'!$L$4:$L$123,10),'ENTRADA DATOS'!$L$4:$L$123,0)),"")</f>
        <v/>
      </c>
      <c r="D13" s="4" t="str">
        <f>IFERROR(INDEX('ENTRADA DATOS'!$D$4:$D$123,MATCH(LARGE('ENTRADA DATOS'!$L$4:$L$123,10),'ENTRADA DATOS'!$L$4:$L$123,0)),"")</f>
        <v/>
      </c>
      <c r="E13" s="4" t="str">
        <f>IFERROR(INDEX('ENTRADA DATOS'!$E$4:$E$123,MATCH(LARGE('ENTRADA DATOS'!$L$4:$L$123,10),'ENTRADA DATOS'!$L$4:$L$123,0)),"")</f>
        <v/>
      </c>
      <c r="F13" s="4" t="str">
        <f>IFERROR(INDEX('ENTRADA DATOS'!$F$4:$F$123,MATCH(LARGE('ENTRADA DATOS'!$L$4:$L$123,10),'ENTRADA DATOS'!$L$4:$L$123,0)),"")</f>
        <v/>
      </c>
      <c r="G13" s="4" t="str">
        <f>IFERROR(INDEX('ENTRADA DATOS'!$G$4:$G$123,MATCH(LARGE('ENTRADA DATOS'!$L$4:$L$123,10),'ENTRADA DATOS'!$L$4:$L$123,0)),"")</f>
        <v/>
      </c>
      <c r="H13" s="4" t="str">
        <f>IFERROR(INDEX('ENTRADA DATOS'!$H$4:$H$123,MATCH(LARGE('ENTRADA DATOS'!$L$4:$L$123,10),'ENTRADA DATOS'!$L$4:$L$123,0)),"")</f>
        <v/>
      </c>
      <c r="I13" s="4" t="str">
        <f>IFERROR(INDEX('ENTRADA DATOS'!$I$4:$I$123,MATCH(LARGE('ENTRADA DATOS'!$L$4:$L$123,10),'ENTRADA DATOS'!$L$4:$L$123,0)),"")</f>
        <v/>
      </c>
      <c r="J13" s="5" t="str">
        <f>IFERROR(INDEX('ENTRADA DATOS'!$J$4:$J$123,MATCH(LARGE('ENTRADA DATOS'!$L$4:$L$123,10),'ENTRADA DATOS'!$L$4:$L$123,0)),"")</f>
        <v/>
      </c>
      <c r="K13" s="5" t="str">
        <f>IFERROR(INDEX('ENTRADA DATOS'!$K$4:$K$123,MATCH(LARGE('ENTRADA DATOS'!$L$4:$L$123,10),'ENTRADA DATOS'!$L$4:$L$123,0)),"")</f>
        <v/>
      </c>
    </row>
    <row r="14" spans="1:11" x14ac:dyDescent="0.3">
      <c r="A14" s="2" t="str">
        <f>IF(I14="","",11)</f>
        <v/>
      </c>
      <c r="B14" s="3" t="str">
        <f>IFERROR(INDEX('ENTRADA DATOS'!$B$4:$B$123,MATCH(LARGE('ENTRADA DATOS'!$L$4:$L$123,11),'ENTRADA DATOS'!$L$4:$L$123,0)),"")</f>
        <v/>
      </c>
      <c r="C14" s="2" t="str">
        <f>IFERROR(INDEX('ENTRADA DATOS'!$C$4:$C$123,MATCH(LARGE('ENTRADA DATOS'!$L$4:$L$123,11),'ENTRADA DATOS'!$L$4:$L$123,0)),"")</f>
        <v/>
      </c>
      <c r="D14" s="2" t="str">
        <f>IFERROR(INDEX('ENTRADA DATOS'!$D$4:$D$123,MATCH(LARGE('ENTRADA DATOS'!$L$4:$L$123,11),'ENTRADA DATOS'!$L$4:$L$123,0)),"")</f>
        <v/>
      </c>
      <c r="E14" s="2" t="str">
        <f>IFERROR(INDEX('ENTRADA DATOS'!$E$4:$E$123,MATCH(LARGE('ENTRADA DATOS'!$L$4:$L$123,11),'ENTRADA DATOS'!$L$4:$L$123,0)),"")</f>
        <v/>
      </c>
      <c r="F14" s="2" t="str">
        <f>IFERROR(INDEX('ENTRADA DATOS'!$F$4:$F$123,MATCH(LARGE('ENTRADA DATOS'!$L$4:$L$123,11),'ENTRADA DATOS'!$L$4:$L$123,0)),"")</f>
        <v/>
      </c>
      <c r="G14" s="2" t="str">
        <f>IFERROR(INDEX('ENTRADA DATOS'!$G$4:$G$123,MATCH(LARGE('ENTRADA DATOS'!$L$4:$L$123,11),'ENTRADA DATOS'!$L$4:$L$123,0)),"")</f>
        <v/>
      </c>
      <c r="H14" s="2" t="str">
        <f>IFERROR(INDEX('ENTRADA DATOS'!$H$4:$H$123,MATCH(LARGE('ENTRADA DATOS'!$L$4:$L$123,11),'ENTRADA DATOS'!$L$4:$L$123,0)),"")</f>
        <v/>
      </c>
      <c r="I14" s="2" t="str">
        <f>IFERROR(INDEX('ENTRADA DATOS'!$I$4:$I$123,MATCH(LARGE('ENTRADA DATOS'!$L$4:$L$123,11),'ENTRADA DATOS'!$L$4:$L$123,0)),"")</f>
        <v/>
      </c>
      <c r="J14" s="3" t="str">
        <f>IFERROR(INDEX('ENTRADA DATOS'!$J$4:$J$123,MATCH(LARGE('ENTRADA DATOS'!$L$4:$L$123,11),'ENTRADA DATOS'!$L$4:$L$123,0)),"")</f>
        <v/>
      </c>
      <c r="K14" s="3" t="str">
        <f>IFERROR(INDEX('ENTRADA DATOS'!$K$4:$K$123,MATCH(LARGE('ENTRADA DATOS'!$L$4:$L$123,11),'ENTRADA DATOS'!$L$4:$L$123,0)),"")</f>
        <v/>
      </c>
    </row>
    <row r="15" spans="1:11" x14ac:dyDescent="0.3">
      <c r="A15" s="4" t="str">
        <f>IF(I15="","",12)</f>
        <v/>
      </c>
      <c r="B15" s="5" t="str">
        <f>IFERROR(INDEX('ENTRADA DATOS'!$B$4:$B$123,MATCH(LARGE('ENTRADA DATOS'!$L$4:$L$123,12),'ENTRADA DATOS'!$L$4:$L$123,0)),"")</f>
        <v/>
      </c>
      <c r="C15" s="4" t="str">
        <f>IFERROR(INDEX('ENTRADA DATOS'!$C$4:$C$123,MATCH(LARGE('ENTRADA DATOS'!$L$4:$L$123,12),'ENTRADA DATOS'!$L$4:$L$123,0)),"")</f>
        <v/>
      </c>
      <c r="D15" s="4" t="str">
        <f>IFERROR(INDEX('ENTRADA DATOS'!$D$4:$D$123,MATCH(LARGE('ENTRADA DATOS'!$L$4:$L$123,12),'ENTRADA DATOS'!$L$4:$L$123,0)),"")</f>
        <v/>
      </c>
      <c r="E15" s="4" t="str">
        <f>IFERROR(INDEX('ENTRADA DATOS'!$E$4:$E$123,MATCH(LARGE('ENTRADA DATOS'!$L$4:$L$123,12),'ENTRADA DATOS'!$L$4:$L$123,0)),"")</f>
        <v/>
      </c>
      <c r="F15" s="4" t="str">
        <f>IFERROR(INDEX('ENTRADA DATOS'!$F$4:$F$123,MATCH(LARGE('ENTRADA DATOS'!$L$4:$L$123,12),'ENTRADA DATOS'!$L$4:$L$123,0)),"")</f>
        <v/>
      </c>
      <c r="G15" s="4" t="str">
        <f>IFERROR(INDEX('ENTRADA DATOS'!$G$4:$G$123,MATCH(LARGE('ENTRADA DATOS'!$L$4:$L$123,12),'ENTRADA DATOS'!$L$4:$L$123,0)),"")</f>
        <v/>
      </c>
      <c r="H15" s="4" t="str">
        <f>IFERROR(INDEX('ENTRADA DATOS'!$H$4:$H$123,MATCH(LARGE('ENTRADA DATOS'!$L$4:$L$123,12),'ENTRADA DATOS'!$L$4:$L$123,0)),"")</f>
        <v/>
      </c>
      <c r="I15" s="4" t="str">
        <f>IFERROR(INDEX('ENTRADA DATOS'!$I$4:$I$123,MATCH(LARGE('ENTRADA DATOS'!$L$4:$L$123,12),'ENTRADA DATOS'!$L$4:$L$123,0)),"")</f>
        <v/>
      </c>
      <c r="J15" s="5" t="str">
        <f>IFERROR(INDEX('ENTRADA DATOS'!$J$4:$J$123,MATCH(LARGE('ENTRADA DATOS'!$L$4:$L$123,12),'ENTRADA DATOS'!$L$4:$L$123,0)),"")</f>
        <v/>
      </c>
      <c r="K15" s="5" t="str">
        <f>IFERROR(INDEX('ENTRADA DATOS'!$K$4:$K$123,MATCH(LARGE('ENTRADA DATOS'!$L$4:$L$123,12),'ENTRADA DATOS'!$L$4:$L$123,0)),"")</f>
        <v/>
      </c>
    </row>
    <row r="16" spans="1:11" x14ac:dyDescent="0.3">
      <c r="A16" s="2" t="str">
        <f>IF(I16="","",13)</f>
        <v/>
      </c>
      <c r="B16" s="3" t="str">
        <f>IFERROR(INDEX('ENTRADA DATOS'!$B$4:$B$123,MATCH(LARGE('ENTRADA DATOS'!$L$4:$L$123,13),'ENTRADA DATOS'!$L$4:$L$123,0)),"")</f>
        <v/>
      </c>
      <c r="C16" s="2" t="str">
        <f>IFERROR(INDEX('ENTRADA DATOS'!$C$4:$C$123,MATCH(LARGE('ENTRADA DATOS'!$L$4:$L$123,13),'ENTRADA DATOS'!$L$4:$L$123,0)),"")</f>
        <v/>
      </c>
      <c r="D16" s="2" t="str">
        <f>IFERROR(INDEX('ENTRADA DATOS'!$D$4:$D$123,MATCH(LARGE('ENTRADA DATOS'!$L$4:$L$123,13),'ENTRADA DATOS'!$L$4:$L$123,0)),"")</f>
        <v/>
      </c>
      <c r="E16" s="2" t="str">
        <f>IFERROR(INDEX('ENTRADA DATOS'!$E$4:$E$123,MATCH(LARGE('ENTRADA DATOS'!$L$4:$L$123,13),'ENTRADA DATOS'!$L$4:$L$123,0)),"")</f>
        <v/>
      </c>
      <c r="F16" s="2" t="str">
        <f>IFERROR(INDEX('ENTRADA DATOS'!$F$4:$F$123,MATCH(LARGE('ENTRADA DATOS'!$L$4:$L$123,13),'ENTRADA DATOS'!$L$4:$L$123,0)),"")</f>
        <v/>
      </c>
      <c r="G16" s="2" t="str">
        <f>IFERROR(INDEX('ENTRADA DATOS'!$G$4:$G$123,MATCH(LARGE('ENTRADA DATOS'!$L$4:$L$123,13),'ENTRADA DATOS'!$L$4:$L$123,0)),"")</f>
        <v/>
      </c>
      <c r="H16" s="2" t="str">
        <f>IFERROR(INDEX('ENTRADA DATOS'!$H$4:$H$123,MATCH(LARGE('ENTRADA DATOS'!$L$4:$L$123,13),'ENTRADA DATOS'!$L$4:$L$123,0)),"")</f>
        <v/>
      </c>
      <c r="I16" s="2" t="str">
        <f>IFERROR(INDEX('ENTRADA DATOS'!$I$4:$I$123,MATCH(LARGE('ENTRADA DATOS'!$L$4:$L$123,13),'ENTRADA DATOS'!$L$4:$L$123,0)),"")</f>
        <v/>
      </c>
      <c r="J16" s="3" t="str">
        <f>IFERROR(INDEX('ENTRADA DATOS'!$J$4:$J$123,MATCH(LARGE('ENTRADA DATOS'!$L$4:$L$123,13),'ENTRADA DATOS'!$L$4:$L$123,0)),"")</f>
        <v/>
      </c>
      <c r="K16" s="3" t="str">
        <f>IFERROR(INDEX('ENTRADA DATOS'!$K$4:$K$123,MATCH(LARGE('ENTRADA DATOS'!$L$4:$L$123,13),'ENTRADA DATOS'!$L$4:$L$123,0)),"")</f>
        <v/>
      </c>
    </row>
    <row r="17" spans="1:11" x14ac:dyDescent="0.3">
      <c r="A17" s="4" t="str">
        <f>IF(I17="","",14)</f>
        <v/>
      </c>
      <c r="B17" s="5" t="str">
        <f>IFERROR(INDEX('ENTRADA DATOS'!$B$4:$B$123,MATCH(LARGE('ENTRADA DATOS'!$L$4:$L$123,14),'ENTRADA DATOS'!$L$4:$L$123,0)),"")</f>
        <v/>
      </c>
      <c r="C17" s="4" t="str">
        <f>IFERROR(INDEX('ENTRADA DATOS'!$C$4:$C$123,MATCH(LARGE('ENTRADA DATOS'!$L$4:$L$123,14),'ENTRADA DATOS'!$L$4:$L$123,0)),"")</f>
        <v/>
      </c>
      <c r="D17" s="4" t="str">
        <f>IFERROR(INDEX('ENTRADA DATOS'!$D$4:$D$123,MATCH(LARGE('ENTRADA DATOS'!$L$4:$L$123,14),'ENTRADA DATOS'!$L$4:$L$123,0)),"")</f>
        <v/>
      </c>
      <c r="E17" s="4" t="str">
        <f>IFERROR(INDEX('ENTRADA DATOS'!$E$4:$E$123,MATCH(LARGE('ENTRADA DATOS'!$L$4:$L$123,14),'ENTRADA DATOS'!$L$4:$L$123,0)),"")</f>
        <v/>
      </c>
      <c r="F17" s="4" t="str">
        <f>IFERROR(INDEX('ENTRADA DATOS'!$F$4:$F$123,MATCH(LARGE('ENTRADA DATOS'!$L$4:$L$123,14),'ENTRADA DATOS'!$L$4:$L$123,0)),"")</f>
        <v/>
      </c>
      <c r="G17" s="4" t="str">
        <f>IFERROR(INDEX('ENTRADA DATOS'!$G$4:$G$123,MATCH(LARGE('ENTRADA DATOS'!$L$4:$L$123,14),'ENTRADA DATOS'!$L$4:$L$123,0)),"")</f>
        <v/>
      </c>
      <c r="H17" s="4" t="str">
        <f>IFERROR(INDEX('ENTRADA DATOS'!$H$4:$H$123,MATCH(LARGE('ENTRADA DATOS'!$L$4:$L$123,14),'ENTRADA DATOS'!$L$4:$L$123,0)),"")</f>
        <v/>
      </c>
      <c r="I17" s="4" t="str">
        <f>IFERROR(INDEX('ENTRADA DATOS'!$I$4:$I$123,MATCH(LARGE('ENTRADA DATOS'!$L$4:$L$123,14),'ENTRADA DATOS'!$L$4:$L$123,0)),"")</f>
        <v/>
      </c>
      <c r="J17" s="5" t="str">
        <f>IFERROR(INDEX('ENTRADA DATOS'!$J$4:$J$123,MATCH(LARGE('ENTRADA DATOS'!$L$4:$L$123,14),'ENTRADA DATOS'!$L$4:$L$123,0)),"")</f>
        <v/>
      </c>
      <c r="K17" s="5" t="str">
        <f>IFERROR(INDEX('ENTRADA DATOS'!$K$4:$K$123,MATCH(LARGE('ENTRADA DATOS'!$L$4:$L$123,14),'ENTRADA DATOS'!$L$4:$L$123,0)),"")</f>
        <v/>
      </c>
    </row>
    <row r="18" spans="1:11" x14ac:dyDescent="0.3">
      <c r="A18" s="2" t="str">
        <f>IF(I18="","",15)</f>
        <v/>
      </c>
      <c r="B18" s="3" t="str">
        <f>IFERROR(INDEX('ENTRADA DATOS'!$B$4:$B$123,MATCH(LARGE('ENTRADA DATOS'!$L$4:$L$123,15),'ENTRADA DATOS'!$L$4:$L$123,0)),"")</f>
        <v/>
      </c>
      <c r="C18" s="2" t="str">
        <f>IFERROR(INDEX('ENTRADA DATOS'!$C$4:$C$123,MATCH(LARGE('ENTRADA DATOS'!$L$4:$L$123,15),'ENTRADA DATOS'!$L$4:$L$123,0)),"")</f>
        <v/>
      </c>
      <c r="D18" s="2" t="str">
        <f>IFERROR(INDEX('ENTRADA DATOS'!$D$4:$D$123,MATCH(LARGE('ENTRADA DATOS'!$L$4:$L$123,15),'ENTRADA DATOS'!$L$4:$L$123,0)),"")</f>
        <v/>
      </c>
      <c r="E18" s="2" t="str">
        <f>IFERROR(INDEX('ENTRADA DATOS'!$E$4:$E$123,MATCH(LARGE('ENTRADA DATOS'!$L$4:$L$123,15),'ENTRADA DATOS'!$L$4:$L$123,0)),"")</f>
        <v/>
      </c>
      <c r="F18" s="2" t="str">
        <f>IFERROR(INDEX('ENTRADA DATOS'!$F$4:$F$123,MATCH(LARGE('ENTRADA DATOS'!$L$4:$L$123,15),'ENTRADA DATOS'!$L$4:$L$123,0)),"")</f>
        <v/>
      </c>
      <c r="G18" s="2" t="str">
        <f>IFERROR(INDEX('ENTRADA DATOS'!$G$4:$G$123,MATCH(LARGE('ENTRADA DATOS'!$L$4:$L$123,15),'ENTRADA DATOS'!$L$4:$L$123,0)),"")</f>
        <v/>
      </c>
      <c r="H18" s="2" t="str">
        <f>IFERROR(INDEX('ENTRADA DATOS'!$H$4:$H$123,MATCH(LARGE('ENTRADA DATOS'!$L$4:$L$123,15),'ENTRADA DATOS'!$L$4:$L$123,0)),"")</f>
        <v/>
      </c>
      <c r="I18" s="2" t="str">
        <f>IFERROR(INDEX('ENTRADA DATOS'!$I$4:$I$123,MATCH(LARGE('ENTRADA DATOS'!$L$4:$L$123,15),'ENTRADA DATOS'!$L$4:$L$123,0)),"")</f>
        <v/>
      </c>
      <c r="J18" s="3" t="str">
        <f>IFERROR(INDEX('ENTRADA DATOS'!$J$4:$J$123,MATCH(LARGE('ENTRADA DATOS'!$L$4:$L$123,15),'ENTRADA DATOS'!$L$4:$L$123,0)),"")</f>
        <v/>
      </c>
      <c r="K18" s="3" t="str">
        <f>IFERROR(INDEX('ENTRADA DATOS'!$K$4:$K$123,MATCH(LARGE('ENTRADA DATOS'!$L$4:$L$123,15),'ENTRADA DATOS'!$L$4:$L$123,0)),"")</f>
        <v/>
      </c>
    </row>
    <row r="19" spans="1:11" x14ac:dyDescent="0.3">
      <c r="A19" s="4" t="str">
        <f>IF(I19="","",16)</f>
        <v/>
      </c>
      <c r="B19" s="5" t="str">
        <f>IFERROR(INDEX('ENTRADA DATOS'!$B$4:$B$123,MATCH(LARGE('ENTRADA DATOS'!$L$4:$L$123,16),'ENTRADA DATOS'!$L$4:$L$123,0)),"")</f>
        <v/>
      </c>
      <c r="C19" s="4" t="str">
        <f>IFERROR(INDEX('ENTRADA DATOS'!$C$4:$C$123,MATCH(LARGE('ENTRADA DATOS'!$L$4:$L$123,16),'ENTRADA DATOS'!$L$4:$L$123,0)),"")</f>
        <v/>
      </c>
      <c r="D19" s="4" t="str">
        <f>IFERROR(INDEX('ENTRADA DATOS'!$D$4:$D$123,MATCH(LARGE('ENTRADA DATOS'!$L$4:$L$123,16),'ENTRADA DATOS'!$L$4:$L$123,0)),"")</f>
        <v/>
      </c>
      <c r="E19" s="4" t="str">
        <f>IFERROR(INDEX('ENTRADA DATOS'!$E$4:$E$123,MATCH(LARGE('ENTRADA DATOS'!$L$4:$L$123,16),'ENTRADA DATOS'!$L$4:$L$123,0)),"")</f>
        <v/>
      </c>
      <c r="F19" s="4" t="str">
        <f>IFERROR(INDEX('ENTRADA DATOS'!$F$4:$F$123,MATCH(LARGE('ENTRADA DATOS'!$L$4:$L$123,16),'ENTRADA DATOS'!$L$4:$L$123,0)),"")</f>
        <v/>
      </c>
      <c r="G19" s="4" t="str">
        <f>IFERROR(INDEX('ENTRADA DATOS'!$G$4:$G$123,MATCH(LARGE('ENTRADA DATOS'!$L$4:$L$123,16),'ENTRADA DATOS'!$L$4:$L$123,0)),"")</f>
        <v/>
      </c>
      <c r="H19" s="4" t="str">
        <f>IFERROR(INDEX('ENTRADA DATOS'!$H$4:$H$123,MATCH(LARGE('ENTRADA DATOS'!$L$4:$L$123,16),'ENTRADA DATOS'!$L$4:$L$123,0)),"")</f>
        <v/>
      </c>
      <c r="I19" s="4" t="str">
        <f>IFERROR(INDEX('ENTRADA DATOS'!$I$4:$I$123,MATCH(LARGE('ENTRADA DATOS'!$L$4:$L$123,16),'ENTRADA DATOS'!$L$4:$L$123,0)),"")</f>
        <v/>
      </c>
      <c r="J19" s="5" t="str">
        <f>IFERROR(INDEX('ENTRADA DATOS'!$J$4:$J$123,MATCH(LARGE('ENTRADA DATOS'!$L$4:$L$123,16),'ENTRADA DATOS'!$L$4:$L$123,0)),"")</f>
        <v/>
      </c>
      <c r="K19" s="5" t="str">
        <f>IFERROR(INDEX('ENTRADA DATOS'!$K$4:$K$123,MATCH(LARGE('ENTRADA DATOS'!$L$4:$L$123,16),'ENTRADA DATOS'!$L$4:$L$123,0)),"")</f>
        <v/>
      </c>
    </row>
    <row r="20" spans="1:11" x14ac:dyDescent="0.3">
      <c r="A20" s="2" t="str">
        <f>IF(I20="","",17)</f>
        <v/>
      </c>
      <c r="B20" s="3" t="str">
        <f>IFERROR(INDEX('ENTRADA DATOS'!$B$4:$B$123,MATCH(LARGE('ENTRADA DATOS'!$L$4:$L$123,17),'ENTRADA DATOS'!$L$4:$L$123,0)),"")</f>
        <v/>
      </c>
      <c r="C20" s="2" t="str">
        <f>IFERROR(INDEX('ENTRADA DATOS'!$C$4:$C$123,MATCH(LARGE('ENTRADA DATOS'!$L$4:$L$123,17),'ENTRADA DATOS'!$L$4:$L$123,0)),"")</f>
        <v/>
      </c>
      <c r="D20" s="2" t="str">
        <f>IFERROR(INDEX('ENTRADA DATOS'!$D$4:$D$123,MATCH(LARGE('ENTRADA DATOS'!$L$4:$L$123,17),'ENTRADA DATOS'!$L$4:$L$123,0)),"")</f>
        <v/>
      </c>
      <c r="E20" s="2" t="str">
        <f>IFERROR(INDEX('ENTRADA DATOS'!$E$4:$E$123,MATCH(LARGE('ENTRADA DATOS'!$L$4:$L$123,17),'ENTRADA DATOS'!$L$4:$L$123,0)),"")</f>
        <v/>
      </c>
      <c r="F20" s="2" t="str">
        <f>IFERROR(INDEX('ENTRADA DATOS'!$F$4:$F$123,MATCH(LARGE('ENTRADA DATOS'!$L$4:$L$123,17),'ENTRADA DATOS'!$L$4:$L$123,0)),"")</f>
        <v/>
      </c>
      <c r="G20" s="2" t="str">
        <f>IFERROR(INDEX('ENTRADA DATOS'!$G$4:$G$123,MATCH(LARGE('ENTRADA DATOS'!$L$4:$L$123,17),'ENTRADA DATOS'!$L$4:$L$123,0)),"")</f>
        <v/>
      </c>
      <c r="H20" s="2" t="str">
        <f>IFERROR(INDEX('ENTRADA DATOS'!$H$4:$H$123,MATCH(LARGE('ENTRADA DATOS'!$L$4:$L$123,17),'ENTRADA DATOS'!$L$4:$L$123,0)),"")</f>
        <v/>
      </c>
      <c r="I20" s="2" t="str">
        <f>IFERROR(INDEX('ENTRADA DATOS'!$I$4:$I$123,MATCH(LARGE('ENTRADA DATOS'!$L$4:$L$123,17),'ENTRADA DATOS'!$L$4:$L$123,0)),"")</f>
        <v/>
      </c>
      <c r="J20" s="3" t="str">
        <f>IFERROR(INDEX('ENTRADA DATOS'!$J$4:$J$123,MATCH(LARGE('ENTRADA DATOS'!$L$4:$L$123,17),'ENTRADA DATOS'!$L$4:$L$123,0)),"")</f>
        <v/>
      </c>
      <c r="K20" s="3" t="str">
        <f>IFERROR(INDEX('ENTRADA DATOS'!$K$4:$K$123,MATCH(LARGE('ENTRADA DATOS'!$L$4:$L$123,17),'ENTRADA DATOS'!$L$4:$L$123,0)),"")</f>
        <v/>
      </c>
    </row>
    <row r="21" spans="1:11" x14ac:dyDescent="0.3">
      <c r="A21" s="4" t="str">
        <f>IF(I21="","",18)</f>
        <v/>
      </c>
      <c r="B21" s="5" t="str">
        <f>IFERROR(INDEX('ENTRADA DATOS'!$B$4:$B$123,MATCH(LARGE('ENTRADA DATOS'!$L$4:$L$123,18),'ENTRADA DATOS'!$L$4:$L$123,0)),"")</f>
        <v/>
      </c>
      <c r="C21" s="4" t="str">
        <f>IFERROR(INDEX('ENTRADA DATOS'!$C$4:$C$123,MATCH(LARGE('ENTRADA DATOS'!$L$4:$L$123,18),'ENTRADA DATOS'!$L$4:$L$123,0)),"")</f>
        <v/>
      </c>
      <c r="D21" s="4" t="str">
        <f>IFERROR(INDEX('ENTRADA DATOS'!$D$4:$D$123,MATCH(LARGE('ENTRADA DATOS'!$L$4:$L$123,18),'ENTRADA DATOS'!$L$4:$L$123,0)),"")</f>
        <v/>
      </c>
      <c r="E21" s="4" t="str">
        <f>IFERROR(INDEX('ENTRADA DATOS'!$E$4:$E$123,MATCH(LARGE('ENTRADA DATOS'!$L$4:$L$123,18),'ENTRADA DATOS'!$L$4:$L$123,0)),"")</f>
        <v/>
      </c>
      <c r="F21" s="4" t="str">
        <f>IFERROR(INDEX('ENTRADA DATOS'!$F$4:$F$123,MATCH(LARGE('ENTRADA DATOS'!$L$4:$L$123,18),'ENTRADA DATOS'!$L$4:$L$123,0)),"")</f>
        <v/>
      </c>
      <c r="G21" s="4" t="str">
        <f>IFERROR(INDEX('ENTRADA DATOS'!$G$4:$G$123,MATCH(LARGE('ENTRADA DATOS'!$L$4:$L$123,18),'ENTRADA DATOS'!$L$4:$L$123,0)),"")</f>
        <v/>
      </c>
      <c r="H21" s="4" t="str">
        <f>IFERROR(INDEX('ENTRADA DATOS'!$H$4:$H$123,MATCH(LARGE('ENTRADA DATOS'!$L$4:$L$123,18),'ENTRADA DATOS'!$L$4:$L$123,0)),"")</f>
        <v/>
      </c>
      <c r="I21" s="4" t="str">
        <f>IFERROR(INDEX('ENTRADA DATOS'!$I$4:$I$123,MATCH(LARGE('ENTRADA DATOS'!$L$4:$L$123,18),'ENTRADA DATOS'!$L$4:$L$123,0)),"")</f>
        <v/>
      </c>
      <c r="J21" s="5" t="str">
        <f>IFERROR(INDEX('ENTRADA DATOS'!$J$4:$J$123,MATCH(LARGE('ENTRADA DATOS'!$L$4:$L$123,18),'ENTRADA DATOS'!$L$4:$L$123,0)),"")</f>
        <v/>
      </c>
      <c r="K21" s="5" t="str">
        <f>IFERROR(INDEX('ENTRADA DATOS'!$K$4:$K$123,MATCH(LARGE('ENTRADA DATOS'!$L$4:$L$123,18),'ENTRADA DATOS'!$L$4:$L$123,0)),"")</f>
        <v/>
      </c>
    </row>
    <row r="22" spans="1:11" x14ac:dyDescent="0.3">
      <c r="A22" s="2" t="str">
        <f>IF(I22="","",19)</f>
        <v/>
      </c>
      <c r="B22" s="3" t="str">
        <f>IFERROR(INDEX('ENTRADA DATOS'!$B$4:$B$123,MATCH(LARGE('ENTRADA DATOS'!$L$4:$L$123,19),'ENTRADA DATOS'!$L$4:$L$123,0)),"")</f>
        <v/>
      </c>
      <c r="C22" s="2" t="str">
        <f>IFERROR(INDEX('ENTRADA DATOS'!$C$4:$C$123,MATCH(LARGE('ENTRADA DATOS'!$L$4:$L$123,19),'ENTRADA DATOS'!$L$4:$L$123,0)),"")</f>
        <v/>
      </c>
      <c r="D22" s="2" t="str">
        <f>IFERROR(INDEX('ENTRADA DATOS'!$D$4:$D$123,MATCH(LARGE('ENTRADA DATOS'!$L$4:$L$123,19),'ENTRADA DATOS'!$L$4:$L$123,0)),"")</f>
        <v/>
      </c>
      <c r="E22" s="2" t="str">
        <f>IFERROR(INDEX('ENTRADA DATOS'!$E$4:$E$123,MATCH(LARGE('ENTRADA DATOS'!$L$4:$L$123,19),'ENTRADA DATOS'!$L$4:$L$123,0)),"")</f>
        <v/>
      </c>
      <c r="F22" s="2" t="str">
        <f>IFERROR(INDEX('ENTRADA DATOS'!$F$4:$F$123,MATCH(LARGE('ENTRADA DATOS'!$L$4:$L$123,19),'ENTRADA DATOS'!$L$4:$L$123,0)),"")</f>
        <v/>
      </c>
      <c r="G22" s="2" t="str">
        <f>IFERROR(INDEX('ENTRADA DATOS'!$G$4:$G$123,MATCH(LARGE('ENTRADA DATOS'!$L$4:$L$123,19),'ENTRADA DATOS'!$L$4:$L$123,0)),"")</f>
        <v/>
      </c>
      <c r="H22" s="2" t="str">
        <f>IFERROR(INDEX('ENTRADA DATOS'!$H$4:$H$123,MATCH(LARGE('ENTRADA DATOS'!$L$4:$L$123,19),'ENTRADA DATOS'!$L$4:$L$123,0)),"")</f>
        <v/>
      </c>
      <c r="I22" s="2" t="str">
        <f>IFERROR(INDEX('ENTRADA DATOS'!$I$4:$I$123,MATCH(LARGE('ENTRADA DATOS'!$L$4:$L$123,19),'ENTRADA DATOS'!$L$4:$L$123,0)),"")</f>
        <v/>
      </c>
      <c r="J22" s="3" t="str">
        <f>IFERROR(INDEX('ENTRADA DATOS'!$J$4:$J$123,MATCH(LARGE('ENTRADA DATOS'!$L$4:$L$123,19),'ENTRADA DATOS'!$L$4:$L$123,0)),"")</f>
        <v/>
      </c>
      <c r="K22" s="3" t="str">
        <f>IFERROR(INDEX('ENTRADA DATOS'!$K$4:$K$123,MATCH(LARGE('ENTRADA DATOS'!$L$4:$L$123,19),'ENTRADA DATOS'!$L$4:$L$123,0)),"")</f>
        <v/>
      </c>
    </row>
    <row r="23" spans="1:11" x14ac:dyDescent="0.3">
      <c r="A23" s="4" t="str">
        <f>IF(I23="","",20)</f>
        <v/>
      </c>
      <c r="B23" s="5" t="str">
        <f>IFERROR(INDEX('ENTRADA DATOS'!$B$4:$B$123,MATCH(LARGE('ENTRADA DATOS'!$L$4:$L$123,20),'ENTRADA DATOS'!$L$4:$L$123,0)),"")</f>
        <v/>
      </c>
      <c r="C23" s="4" t="str">
        <f>IFERROR(INDEX('ENTRADA DATOS'!$C$4:$C$123,MATCH(LARGE('ENTRADA DATOS'!$L$4:$L$123,20),'ENTRADA DATOS'!$L$4:$L$123,0)),"")</f>
        <v/>
      </c>
      <c r="D23" s="4" t="str">
        <f>IFERROR(INDEX('ENTRADA DATOS'!$D$4:$D$123,MATCH(LARGE('ENTRADA DATOS'!$L$4:$L$123,20),'ENTRADA DATOS'!$L$4:$L$123,0)),"")</f>
        <v/>
      </c>
      <c r="E23" s="4" t="str">
        <f>IFERROR(INDEX('ENTRADA DATOS'!$E$4:$E$123,MATCH(LARGE('ENTRADA DATOS'!$L$4:$L$123,20),'ENTRADA DATOS'!$L$4:$L$123,0)),"")</f>
        <v/>
      </c>
      <c r="F23" s="4" t="str">
        <f>IFERROR(INDEX('ENTRADA DATOS'!$F$4:$F$123,MATCH(LARGE('ENTRADA DATOS'!$L$4:$L$123,20),'ENTRADA DATOS'!$L$4:$L$123,0)),"")</f>
        <v/>
      </c>
      <c r="G23" s="4" t="str">
        <f>IFERROR(INDEX('ENTRADA DATOS'!$G$4:$G$123,MATCH(LARGE('ENTRADA DATOS'!$L$4:$L$123,20),'ENTRADA DATOS'!$L$4:$L$123,0)),"")</f>
        <v/>
      </c>
      <c r="H23" s="4" t="str">
        <f>IFERROR(INDEX('ENTRADA DATOS'!$H$4:$H$123,MATCH(LARGE('ENTRADA DATOS'!$L$4:$L$123,20),'ENTRADA DATOS'!$L$4:$L$123,0)),"")</f>
        <v/>
      </c>
      <c r="I23" s="4" t="str">
        <f>IFERROR(INDEX('ENTRADA DATOS'!$I$4:$I$123,MATCH(LARGE('ENTRADA DATOS'!$L$4:$L$123,20),'ENTRADA DATOS'!$L$4:$L$123,0)),"")</f>
        <v/>
      </c>
      <c r="J23" s="5" t="str">
        <f>IFERROR(INDEX('ENTRADA DATOS'!$J$4:$J$123,MATCH(LARGE('ENTRADA DATOS'!$L$4:$L$123,20),'ENTRADA DATOS'!$L$4:$L$123,0)),"")</f>
        <v/>
      </c>
      <c r="K23" s="5" t="str">
        <f>IFERROR(INDEX('ENTRADA DATOS'!$K$4:$K$123,MATCH(LARGE('ENTRADA DATOS'!$L$4:$L$123,20),'ENTRADA DATOS'!$L$4:$L$123,0)),"")</f>
        <v/>
      </c>
    </row>
    <row r="24" spans="1:11" x14ac:dyDescent="0.3">
      <c r="A24" s="2" t="str">
        <f>IF(I24="","",21)</f>
        <v/>
      </c>
      <c r="B24" s="3" t="str">
        <f>IFERROR(INDEX('ENTRADA DATOS'!$B$4:$B$123,MATCH(LARGE('ENTRADA DATOS'!$L$4:$L$123,21),'ENTRADA DATOS'!$L$4:$L$123,0)),"")</f>
        <v/>
      </c>
      <c r="C24" s="2" t="str">
        <f>IFERROR(INDEX('ENTRADA DATOS'!$C$4:$C$123,MATCH(LARGE('ENTRADA DATOS'!$L$4:$L$123,21),'ENTRADA DATOS'!$L$4:$L$123,0)),"")</f>
        <v/>
      </c>
      <c r="D24" s="2" t="str">
        <f>IFERROR(INDEX('ENTRADA DATOS'!$D$4:$D$123,MATCH(LARGE('ENTRADA DATOS'!$L$4:$L$123,21),'ENTRADA DATOS'!$L$4:$L$123,0)),"")</f>
        <v/>
      </c>
      <c r="E24" s="2" t="str">
        <f>IFERROR(INDEX('ENTRADA DATOS'!$E$4:$E$123,MATCH(LARGE('ENTRADA DATOS'!$L$4:$L$123,21),'ENTRADA DATOS'!$L$4:$L$123,0)),"")</f>
        <v/>
      </c>
      <c r="F24" s="2" t="str">
        <f>IFERROR(INDEX('ENTRADA DATOS'!$F$4:$F$123,MATCH(LARGE('ENTRADA DATOS'!$L$4:$L$123,21),'ENTRADA DATOS'!$L$4:$L$123,0)),"")</f>
        <v/>
      </c>
      <c r="G24" s="2" t="str">
        <f>IFERROR(INDEX('ENTRADA DATOS'!$G$4:$G$123,MATCH(LARGE('ENTRADA DATOS'!$L$4:$L$123,21),'ENTRADA DATOS'!$L$4:$L$123,0)),"")</f>
        <v/>
      </c>
      <c r="H24" s="2" t="str">
        <f>IFERROR(INDEX('ENTRADA DATOS'!$H$4:$H$123,MATCH(LARGE('ENTRADA DATOS'!$L$4:$L$123,21),'ENTRADA DATOS'!$L$4:$L$123,0)),"")</f>
        <v/>
      </c>
      <c r="I24" s="2" t="str">
        <f>IFERROR(INDEX('ENTRADA DATOS'!$I$4:$I$123,MATCH(LARGE('ENTRADA DATOS'!$L$4:$L$123,21),'ENTRADA DATOS'!$L$4:$L$123,0)),"")</f>
        <v/>
      </c>
      <c r="J24" s="3" t="str">
        <f>IFERROR(INDEX('ENTRADA DATOS'!$J$4:$J$123,MATCH(LARGE('ENTRADA DATOS'!$L$4:$L$123,21),'ENTRADA DATOS'!$L$4:$L$123,0)),"")</f>
        <v/>
      </c>
      <c r="K24" s="3" t="str">
        <f>IFERROR(INDEX('ENTRADA DATOS'!$K$4:$K$123,MATCH(LARGE('ENTRADA DATOS'!$L$4:$L$123,21),'ENTRADA DATOS'!$L$4:$L$123,0)),"")</f>
        <v/>
      </c>
    </row>
    <row r="25" spans="1:11" x14ac:dyDescent="0.3">
      <c r="A25" s="4" t="str">
        <f>IF(I25="","",22)</f>
        <v/>
      </c>
      <c r="B25" s="5" t="str">
        <f>IFERROR(INDEX('ENTRADA DATOS'!$B$4:$B$123,MATCH(LARGE('ENTRADA DATOS'!$L$4:$L$123,22),'ENTRADA DATOS'!$L$4:$L$123,0)),"")</f>
        <v/>
      </c>
      <c r="C25" s="4" t="str">
        <f>IFERROR(INDEX('ENTRADA DATOS'!$C$4:$C$123,MATCH(LARGE('ENTRADA DATOS'!$L$4:$L$123,22),'ENTRADA DATOS'!$L$4:$L$123,0)),"")</f>
        <v/>
      </c>
      <c r="D25" s="4" t="str">
        <f>IFERROR(INDEX('ENTRADA DATOS'!$D$4:$D$123,MATCH(LARGE('ENTRADA DATOS'!$L$4:$L$123,22),'ENTRADA DATOS'!$L$4:$L$123,0)),"")</f>
        <v/>
      </c>
      <c r="E25" s="4" t="str">
        <f>IFERROR(INDEX('ENTRADA DATOS'!$E$4:$E$123,MATCH(LARGE('ENTRADA DATOS'!$L$4:$L$123,22),'ENTRADA DATOS'!$L$4:$L$123,0)),"")</f>
        <v/>
      </c>
      <c r="F25" s="4" t="str">
        <f>IFERROR(INDEX('ENTRADA DATOS'!$F$4:$F$123,MATCH(LARGE('ENTRADA DATOS'!$L$4:$L$123,22),'ENTRADA DATOS'!$L$4:$L$123,0)),"")</f>
        <v/>
      </c>
      <c r="G25" s="4" t="str">
        <f>IFERROR(INDEX('ENTRADA DATOS'!$G$4:$G$123,MATCH(LARGE('ENTRADA DATOS'!$L$4:$L$123,22),'ENTRADA DATOS'!$L$4:$L$123,0)),"")</f>
        <v/>
      </c>
      <c r="H25" s="4" t="str">
        <f>IFERROR(INDEX('ENTRADA DATOS'!$H$4:$H$123,MATCH(LARGE('ENTRADA DATOS'!$L$4:$L$123,22),'ENTRADA DATOS'!$L$4:$L$123,0)),"")</f>
        <v/>
      </c>
      <c r="I25" s="4" t="str">
        <f>IFERROR(INDEX('ENTRADA DATOS'!$I$4:$I$123,MATCH(LARGE('ENTRADA DATOS'!$L$4:$L$123,22),'ENTRADA DATOS'!$L$4:$L$123,0)),"")</f>
        <v/>
      </c>
      <c r="J25" s="5" t="str">
        <f>IFERROR(INDEX('ENTRADA DATOS'!$J$4:$J$123,MATCH(LARGE('ENTRADA DATOS'!$L$4:$L$123,22),'ENTRADA DATOS'!$L$4:$L$123,0)),"")</f>
        <v/>
      </c>
      <c r="K25" s="5" t="str">
        <f>IFERROR(INDEX('ENTRADA DATOS'!$K$4:$K$123,MATCH(LARGE('ENTRADA DATOS'!$L$4:$L$123,22),'ENTRADA DATOS'!$L$4:$L$123,0)),"")</f>
        <v/>
      </c>
    </row>
    <row r="26" spans="1:11" x14ac:dyDescent="0.3">
      <c r="A26" s="2" t="str">
        <f>IF(I26="","",23)</f>
        <v/>
      </c>
      <c r="B26" s="3" t="str">
        <f>IFERROR(INDEX('ENTRADA DATOS'!$B$4:$B$123,MATCH(LARGE('ENTRADA DATOS'!$L$4:$L$123,23),'ENTRADA DATOS'!$L$4:$L$123,0)),"")</f>
        <v/>
      </c>
      <c r="C26" s="2" t="str">
        <f>IFERROR(INDEX('ENTRADA DATOS'!$C$4:$C$123,MATCH(LARGE('ENTRADA DATOS'!$L$4:$L$123,23),'ENTRADA DATOS'!$L$4:$L$123,0)),"")</f>
        <v/>
      </c>
      <c r="D26" s="2" t="str">
        <f>IFERROR(INDEX('ENTRADA DATOS'!$D$4:$D$123,MATCH(LARGE('ENTRADA DATOS'!$L$4:$L$123,23),'ENTRADA DATOS'!$L$4:$L$123,0)),"")</f>
        <v/>
      </c>
      <c r="E26" s="2" t="str">
        <f>IFERROR(INDEX('ENTRADA DATOS'!$E$4:$E$123,MATCH(LARGE('ENTRADA DATOS'!$L$4:$L$123,23),'ENTRADA DATOS'!$L$4:$L$123,0)),"")</f>
        <v/>
      </c>
      <c r="F26" s="2" t="str">
        <f>IFERROR(INDEX('ENTRADA DATOS'!$F$4:$F$123,MATCH(LARGE('ENTRADA DATOS'!$L$4:$L$123,23),'ENTRADA DATOS'!$L$4:$L$123,0)),"")</f>
        <v/>
      </c>
      <c r="G26" s="2" t="str">
        <f>IFERROR(INDEX('ENTRADA DATOS'!$G$4:$G$123,MATCH(LARGE('ENTRADA DATOS'!$L$4:$L$123,23),'ENTRADA DATOS'!$L$4:$L$123,0)),"")</f>
        <v/>
      </c>
      <c r="H26" s="2" t="str">
        <f>IFERROR(INDEX('ENTRADA DATOS'!$H$4:$H$123,MATCH(LARGE('ENTRADA DATOS'!$L$4:$L$123,23),'ENTRADA DATOS'!$L$4:$L$123,0)),"")</f>
        <v/>
      </c>
      <c r="I26" s="2" t="str">
        <f>IFERROR(INDEX('ENTRADA DATOS'!$I$4:$I$123,MATCH(LARGE('ENTRADA DATOS'!$L$4:$L$123,23),'ENTRADA DATOS'!$L$4:$L$123,0)),"")</f>
        <v/>
      </c>
      <c r="J26" s="3" t="str">
        <f>IFERROR(INDEX('ENTRADA DATOS'!$J$4:$J$123,MATCH(LARGE('ENTRADA DATOS'!$L$4:$L$123,23),'ENTRADA DATOS'!$L$4:$L$123,0)),"")</f>
        <v/>
      </c>
      <c r="K26" s="3" t="str">
        <f>IFERROR(INDEX('ENTRADA DATOS'!$K$4:$K$123,MATCH(LARGE('ENTRADA DATOS'!$L$4:$L$123,23),'ENTRADA DATOS'!$L$4:$L$123,0)),"")</f>
        <v/>
      </c>
    </row>
    <row r="27" spans="1:11" x14ac:dyDescent="0.3">
      <c r="A27" s="4" t="str">
        <f>IF(I27="","",24)</f>
        <v/>
      </c>
      <c r="B27" s="5" t="str">
        <f>IFERROR(INDEX('ENTRADA DATOS'!$B$4:$B$123,MATCH(LARGE('ENTRADA DATOS'!$L$4:$L$123,24),'ENTRADA DATOS'!$L$4:$L$123,0)),"")</f>
        <v/>
      </c>
      <c r="C27" s="4" t="str">
        <f>IFERROR(INDEX('ENTRADA DATOS'!$C$4:$C$123,MATCH(LARGE('ENTRADA DATOS'!$L$4:$L$123,24),'ENTRADA DATOS'!$L$4:$L$123,0)),"")</f>
        <v/>
      </c>
      <c r="D27" s="4" t="str">
        <f>IFERROR(INDEX('ENTRADA DATOS'!$D$4:$D$123,MATCH(LARGE('ENTRADA DATOS'!$L$4:$L$123,24),'ENTRADA DATOS'!$L$4:$L$123,0)),"")</f>
        <v/>
      </c>
      <c r="E27" s="4" t="str">
        <f>IFERROR(INDEX('ENTRADA DATOS'!$E$4:$E$123,MATCH(LARGE('ENTRADA DATOS'!$L$4:$L$123,24),'ENTRADA DATOS'!$L$4:$L$123,0)),"")</f>
        <v/>
      </c>
      <c r="F27" s="4" t="str">
        <f>IFERROR(INDEX('ENTRADA DATOS'!$F$4:$F$123,MATCH(LARGE('ENTRADA DATOS'!$L$4:$L$123,24),'ENTRADA DATOS'!$L$4:$L$123,0)),"")</f>
        <v/>
      </c>
      <c r="G27" s="4" t="str">
        <f>IFERROR(INDEX('ENTRADA DATOS'!$G$4:$G$123,MATCH(LARGE('ENTRADA DATOS'!$L$4:$L$123,24),'ENTRADA DATOS'!$L$4:$L$123,0)),"")</f>
        <v/>
      </c>
      <c r="H27" s="4" t="str">
        <f>IFERROR(INDEX('ENTRADA DATOS'!$H$4:$H$123,MATCH(LARGE('ENTRADA DATOS'!$L$4:$L$123,24),'ENTRADA DATOS'!$L$4:$L$123,0)),"")</f>
        <v/>
      </c>
      <c r="I27" s="4" t="str">
        <f>IFERROR(INDEX('ENTRADA DATOS'!$I$4:$I$123,MATCH(LARGE('ENTRADA DATOS'!$L$4:$L$123,24),'ENTRADA DATOS'!$L$4:$L$123,0)),"")</f>
        <v/>
      </c>
      <c r="J27" s="5" t="str">
        <f>IFERROR(INDEX('ENTRADA DATOS'!$J$4:$J$123,MATCH(LARGE('ENTRADA DATOS'!$L$4:$L$123,24),'ENTRADA DATOS'!$L$4:$L$123,0)),"")</f>
        <v/>
      </c>
      <c r="K27" s="5" t="str">
        <f>IFERROR(INDEX('ENTRADA DATOS'!$K$4:$K$123,MATCH(LARGE('ENTRADA DATOS'!$L$4:$L$123,24),'ENTRADA DATOS'!$L$4:$L$123,0)),"")</f>
        <v/>
      </c>
    </row>
    <row r="28" spans="1:11" x14ac:dyDescent="0.3">
      <c r="A28" s="2" t="str">
        <f>IF(I28="","",25)</f>
        <v/>
      </c>
      <c r="B28" s="3" t="str">
        <f>IFERROR(INDEX('ENTRADA DATOS'!$B$4:$B$123,MATCH(LARGE('ENTRADA DATOS'!$L$4:$L$123,25),'ENTRADA DATOS'!$L$4:$L$123,0)),"")</f>
        <v/>
      </c>
      <c r="C28" s="2" t="str">
        <f>IFERROR(INDEX('ENTRADA DATOS'!$C$4:$C$123,MATCH(LARGE('ENTRADA DATOS'!$L$4:$L$123,25),'ENTRADA DATOS'!$L$4:$L$123,0)),"")</f>
        <v/>
      </c>
      <c r="D28" s="2" t="str">
        <f>IFERROR(INDEX('ENTRADA DATOS'!$D$4:$D$123,MATCH(LARGE('ENTRADA DATOS'!$L$4:$L$123,25),'ENTRADA DATOS'!$L$4:$L$123,0)),"")</f>
        <v/>
      </c>
      <c r="E28" s="2" t="str">
        <f>IFERROR(INDEX('ENTRADA DATOS'!$E$4:$E$123,MATCH(LARGE('ENTRADA DATOS'!$L$4:$L$123,25),'ENTRADA DATOS'!$L$4:$L$123,0)),"")</f>
        <v/>
      </c>
      <c r="F28" s="2" t="str">
        <f>IFERROR(INDEX('ENTRADA DATOS'!$F$4:$F$123,MATCH(LARGE('ENTRADA DATOS'!$L$4:$L$123,25),'ENTRADA DATOS'!$L$4:$L$123,0)),"")</f>
        <v/>
      </c>
      <c r="G28" s="2" t="str">
        <f>IFERROR(INDEX('ENTRADA DATOS'!$G$4:$G$123,MATCH(LARGE('ENTRADA DATOS'!$L$4:$L$123,25),'ENTRADA DATOS'!$L$4:$L$123,0)),"")</f>
        <v/>
      </c>
      <c r="H28" s="2" t="str">
        <f>IFERROR(INDEX('ENTRADA DATOS'!$H$4:$H$123,MATCH(LARGE('ENTRADA DATOS'!$L$4:$L$123,25),'ENTRADA DATOS'!$L$4:$L$123,0)),"")</f>
        <v/>
      </c>
      <c r="I28" s="2" t="str">
        <f>IFERROR(INDEX('ENTRADA DATOS'!$I$4:$I$123,MATCH(LARGE('ENTRADA DATOS'!$L$4:$L$123,25),'ENTRADA DATOS'!$L$4:$L$123,0)),"")</f>
        <v/>
      </c>
      <c r="J28" s="3" t="str">
        <f>IFERROR(INDEX('ENTRADA DATOS'!$J$4:$J$123,MATCH(LARGE('ENTRADA DATOS'!$L$4:$L$123,25),'ENTRADA DATOS'!$L$4:$L$123,0)),"")</f>
        <v/>
      </c>
      <c r="K28" s="3" t="str">
        <f>IFERROR(INDEX('ENTRADA DATOS'!$K$4:$K$123,MATCH(LARGE('ENTRADA DATOS'!$L$4:$L$123,25),'ENTRADA DATOS'!$L$4:$L$123,0)),"")</f>
        <v/>
      </c>
    </row>
    <row r="29" spans="1:11" x14ac:dyDescent="0.3">
      <c r="A29" s="4" t="str">
        <f>IF(I29="","",26)</f>
        <v/>
      </c>
      <c r="B29" s="5" t="str">
        <f>IFERROR(INDEX('ENTRADA DATOS'!$B$4:$B$123,MATCH(LARGE('ENTRADA DATOS'!$L$4:$L$123,26),'ENTRADA DATOS'!$L$4:$L$123,0)),"")</f>
        <v/>
      </c>
      <c r="C29" s="4" t="str">
        <f>IFERROR(INDEX('ENTRADA DATOS'!$C$4:$C$123,MATCH(LARGE('ENTRADA DATOS'!$L$4:$L$123,26),'ENTRADA DATOS'!$L$4:$L$123,0)),"")</f>
        <v/>
      </c>
      <c r="D29" s="4" t="str">
        <f>IFERROR(INDEX('ENTRADA DATOS'!$D$4:$D$123,MATCH(LARGE('ENTRADA DATOS'!$L$4:$L$123,26),'ENTRADA DATOS'!$L$4:$L$123,0)),"")</f>
        <v/>
      </c>
      <c r="E29" s="4" t="str">
        <f>IFERROR(INDEX('ENTRADA DATOS'!$E$4:$E$123,MATCH(LARGE('ENTRADA DATOS'!$L$4:$L$123,26),'ENTRADA DATOS'!$L$4:$L$123,0)),"")</f>
        <v/>
      </c>
      <c r="F29" s="4" t="str">
        <f>IFERROR(INDEX('ENTRADA DATOS'!$F$4:$F$123,MATCH(LARGE('ENTRADA DATOS'!$L$4:$L$123,26),'ENTRADA DATOS'!$L$4:$L$123,0)),"")</f>
        <v/>
      </c>
      <c r="G29" s="4" t="str">
        <f>IFERROR(INDEX('ENTRADA DATOS'!$G$4:$G$123,MATCH(LARGE('ENTRADA DATOS'!$L$4:$L$123,26),'ENTRADA DATOS'!$L$4:$L$123,0)),"")</f>
        <v/>
      </c>
      <c r="H29" s="4" t="str">
        <f>IFERROR(INDEX('ENTRADA DATOS'!$H$4:$H$123,MATCH(LARGE('ENTRADA DATOS'!$L$4:$L$123,26),'ENTRADA DATOS'!$L$4:$L$123,0)),"")</f>
        <v/>
      </c>
      <c r="I29" s="4" t="str">
        <f>IFERROR(INDEX('ENTRADA DATOS'!$I$4:$I$123,MATCH(LARGE('ENTRADA DATOS'!$L$4:$L$123,26),'ENTRADA DATOS'!$L$4:$L$123,0)),"")</f>
        <v/>
      </c>
      <c r="J29" s="5" t="str">
        <f>IFERROR(INDEX('ENTRADA DATOS'!$J$4:$J$123,MATCH(LARGE('ENTRADA DATOS'!$L$4:$L$123,26),'ENTRADA DATOS'!$L$4:$L$123,0)),"")</f>
        <v/>
      </c>
      <c r="K29" s="5" t="str">
        <f>IFERROR(INDEX('ENTRADA DATOS'!$K$4:$K$123,MATCH(LARGE('ENTRADA DATOS'!$L$4:$L$123,26),'ENTRADA DATOS'!$L$4:$L$123,0)),"")</f>
        <v/>
      </c>
    </row>
    <row r="30" spans="1:11" x14ac:dyDescent="0.3">
      <c r="A30" s="2" t="str">
        <f>IF(I30="","",27)</f>
        <v/>
      </c>
      <c r="B30" s="3" t="str">
        <f>IFERROR(INDEX('ENTRADA DATOS'!$B$4:$B$123,MATCH(LARGE('ENTRADA DATOS'!$L$4:$L$123,27),'ENTRADA DATOS'!$L$4:$L$123,0)),"")</f>
        <v/>
      </c>
      <c r="C30" s="2" t="str">
        <f>IFERROR(INDEX('ENTRADA DATOS'!$C$4:$C$123,MATCH(LARGE('ENTRADA DATOS'!$L$4:$L$123,27),'ENTRADA DATOS'!$L$4:$L$123,0)),"")</f>
        <v/>
      </c>
      <c r="D30" s="2" t="str">
        <f>IFERROR(INDEX('ENTRADA DATOS'!$D$4:$D$123,MATCH(LARGE('ENTRADA DATOS'!$L$4:$L$123,27),'ENTRADA DATOS'!$L$4:$L$123,0)),"")</f>
        <v/>
      </c>
      <c r="E30" s="2" t="str">
        <f>IFERROR(INDEX('ENTRADA DATOS'!$E$4:$E$123,MATCH(LARGE('ENTRADA DATOS'!$L$4:$L$123,27),'ENTRADA DATOS'!$L$4:$L$123,0)),"")</f>
        <v/>
      </c>
      <c r="F30" s="2" t="str">
        <f>IFERROR(INDEX('ENTRADA DATOS'!$F$4:$F$123,MATCH(LARGE('ENTRADA DATOS'!$L$4:$L$123,27),'ENTRADA DATOS'!$L$4:$L$123,0)),"")</f>
        <v/>
      </c>
      <c r="G30" s="2" t="str">
        <f>IFERROR(INDEX('ENTRADA DATOS'!$G$4:$G$123,MATCH(LARGE('ENTRADA DATOS'!$L$4:$L$123,27),'ENTRADA DATOS'!$L$4:$L$123,0)),"")</f>
        <v/>
      </c>
      <c r="H30" s="2" t="str">
        <f>IFERROR(INDEX('ENTRADA DATOS'!$H$4:$H$123,MATCH(LARGE('ENTRADA DATOS'!$L$4:$L$123,27),'ENTRADA DATOS'!$L$4:$L$123,0)),"")</f>
        <v/>
      </c>
      <c r="I30" s="2" t="str">
        <f>IFERROR(INDEX('ENTRADA DATOS'!$I$4:$I$123,MATCH(LARGE('ENTRADA DATOS'!$L$4:$L$123,27),'ENTRADA DATOS'!$L$4:$L$123,0)),"")</f>
        <v/>
      </c>
      <c r="J30" s="3" t="str">
        <f>IFERROR(INDEX('ENTRADA DATOS'!$J$4:$J$123,MATCH(LARGE('ENTRADA DATOS'!$L$4:$L$123,27),'ENTRADA DATOS'!$L$4:$L$123,0)),"")</f>
        <v/>
      </c>
      <c r="K30" s="3" t="str">
        <f>IFERROR(INDEX('ENTRADA DATOS'!$K$4:$K$123,MATCH(LARGE('ENTRADA DATOS'!$L$4:$L$123,27),'ENTRADA DATOS'!$L$4:$L$123,0)),"")</f>
        <v/>
      </c>
    </row>
    <row r="31" spans="1:11" x14ac:dyDescent="0.3">
      <c r="A31" s="4" t="str">
        <f>IF(I31="","",28)</f>
        <v/>
      </c>
      <c r="B31" s="5" t="str">
        <f>IFERROR(INDEX('ENTRADA DATOS'!$B$4:$B$123,MATCH(LARGE('ENTRADA DATOS'!$L$4:$L$123,28),'ENTRADA DATOS'!$L$4:$L$123,0)),"")</f>
        <v/>
      </c>
      <c r="C31" s="4" t="str">
        <f>IFERROR(INDEX('ENTRADA DATOS'!$C$4:$C$123,MATCH(LARGE('ENTRADA DATOS'!$L$4:$L$123,28),'ENTRADA DATOS'!$L$4:$L$123,0)),"")</f>
        <v/>
      </c>
      <c r="D31" s="4" t="str">
        <f>IFERROR(INDEX('ENTRADA DATOS'!$D$4:$D$123,MATCH(LARGE('ENTRADA DATOS'!$L$4:$L$123,28),'ENTRADA DATOS'!$L$4:$L$123,0)),"")</f>
        <v/>
      </c>
      <c r="E31" s="4" t="str">
        <f>IFERROR(INDEX('ENTRADA DATOS'!$E$4:$E$123,MATCH(LARGE('ENTRADA DATOS'!$L$4:$L$123,28),'ENTRADA DATOS'!$L$4:$L$123,0)),"")</f>
        <v/>
      </c>
      <c r="F31" s="4" t="str">
        <f>IFERROR(INDEX('ENTRADA DATOS'!$F$4:$F$123,MATCH(LARGE('ENTRADA DATOS'!$L$4:$L$123,28),'ENTRADA DATOS'!$L$4:$L$123,0)),"")</f>
        <v/>
      </c>
      <c r="G31" s="4" t="str">
        <f>IFERROR(INDEX('ENTRADA DATOS'!$G$4:$G$123,MATCH(LARGE('ENTRADA DATOS'!$L$4:$L$123,28),'ENTRADA DATOS'!$L$4:$L$123,0)),"")</f>
        <v/>
      </c>
      <c r="H31" s="4" t="str">
        <f>IFERROR(INDEX('ENTRADA DATOS'!$H$4:$H$123,MATCH(LARGE('ENTRADA DATOS'!$L$4:$L$123,28),'ENTRADA DATOS'!$L$4:$L$123,0)),"")</f>
        <v/>
      </c>
      <c r="I31" s="4" t="str">
        <f>IFERROR(INDEX('ENTRADA DATOS'!$I$4:$I$123,MATCH(LARGE('ENTRADA DATOS'!$L$4:$L$123,28),'ENTRADA DATOS'!$L$4:$L$123,0)),"")</f>
        <v/>
      </c>
      <c r="J31" s="5" t="str">
        <f>IFERROR(INDEX('ENTRADA DATOS'!$J$4:$J$123,MATCH(LARGE('ENTRADA DATOS'!$L$4:$L$123,28),'ENTRADA DATOS'!$L$4:$L$123,0)),"")</f>
        <v/>
      </c>
      <c r="K31" s="5" t="str">
        <f>IFERROR(INDEX('ENTRADA DATOS'!$K$4:$K$123,MATCH(LARGE('ENTRADA DATOS'!$L$4:$L$123,28),'ENTRADA DATOS'!$L$4:$L$123,0)),"")</f>
        <v/>
      </c>
    </row>
    <row r="32" spans="1:11" x14ac:dyDescent="0.3">
      <c r="A32" s="2" t="str">
        <f>IF(I32="","",29)</f>
        <v/>
      </c>
      <c r="B32" s="3" t="str">
        <f>IFERROR(INDEX('ENTRADA DATOS'!$B$4:$B$123,MATCH(LARGE('ENTRADA DATOS'!$L$4:$L$123,29),'ENTRADA DATOS'!$L$4:$L$123,0)),"")</f>
        <v/>
      </c>
      <c r="C32" s="2" t="str">
        <f>IFERROR(INDEX('ENTRADA DATOS'!$C$4:$C$123,MATCH(LARGE('ENTRADA DATOS'!$L$4:$L$123,29),'ENTRADA DATOS'!$L$4:$L$123,0)),"")</f>
        <v/>
      </c>
      <c r="D32" s="2" t="str">
        <f>IFERROR(INDEX('ENTRADA DATOS'!$D$4:$D$123,MATCH(LARGE('ENTRADA DATOS'!$L$4:$L$123,29),'ENTRADA DATOS'!$L$4:$L$123,0)),"")</f>
        <v/>
      </c>
      <c r="E32" s="2" t="str">
        <f>IFERROR(INDEX('ENTRADA DATOS'!$E$4:$E$123,MATCH(LARGE('ENTRADA DATOS'!$L$4:$L$123,29),'ENTRADA DATOS'!$L$4:$L$123,0)),"")</f>
        <v/>
      </c>
      <c r="F32" s="2" t="str">
        <f>IFERROR(INDEX('ENTRADA DATOS'!$F$4:$F$123,MATCH(LARGE('ENTRADA DATOS'!$L$4:$L$123,29),'ENTRADA DATOS'!$L$4:$L$123,0)),"")</f>
        <v/>
      </c>
      <c r="G32" s="2" t="str">
        <f>IFERROR(INDEX('ENTRADA DATOS'!$G$4:$G$123,MATCH(LARGE('ENTRADA DATOS'!$L$4:$L$123,29),'ENTRADA DATOS'!$L$4:$L$123,0)),"")</f>
        <v/>
      </c>
      <c r="H32" s="2" t="str">
        <f>IFERROR(INDEX('ENTRADA DATOS'!$H$4:$H$123,MATCH(LARGE('ENTRADA DATOS'!$L$4:$L$123,29),'ENTRADA DATOS'!$L$4:$L$123,0)),"")</f>
        <v/>
      </c>
      <c r="I32" s="2" t="str">
        <f>IFERROR(INDEX('ENTRADA DATOS'!$I$4:$I$123,MATCH(LARGE('ENTRADA DATOS'!$L$4:$L$123,29),'ENTRADA DATOS'!$L$4:$L$123,0)),"")</f>
        <v/>
      </c>
      <c r="J32" s="3" t="str">
        <f>IFERROR(INDEX('ENTRADA DATOS'!$J$4:$J$123,MATCH(LARGE('ENTRADA DATOS'!$L$4:$L$123,29),'ENTRADA DATOS'!$L$4:$L$123,0)),"")</f>
        <v/>
      </c>
      <c r="K32" s="3" t="str">
        <f>IFERROR(INDEX('ENTRADA DATOS'!$K$4:$K$123,MATCH(LARGE('ENTRADA DATOS'!$L$4:$L$123,29),'ENTRADA DATOS'!$L$4:$L$123,0)),"")</f>
        <v/>
      </c>
    </row>
    <row r="33" spans="1:11" x14ac:dyDescent="0.3">
      <c r="A33" s="4" t="str">
        <f>IF(I33="","",30)</f>
        <v/>
      </c>
      <c r="B33" s="5" t="str">
        <f>IFERROR(INDEX('ENTRADA DATOS'!$B$4:$B$123,MATCH(LARGE('ENTRADA DATOS'!$L$4:$L$123,30),'ENTRADA DATOS'!$L$4:$L$123,0)),"")</f>
        <v/>
      </c>
      <c r="C33" s="4" t="str">
        <f>IFERROR(INDEX('ENTRADA DATOS'!$C$4:$C$123,MATCH(LARGE('ENTRADA DATOS'!$L$4:$L$123,30),'ENTRADA DATOS'!$L$4:$L$123,0)),"")</f>
        <v/>
      </c>
      <c r="D33" s="4" t="str">
        <f>IFERROR(INDEX('ENTRADA DATOS'!$D$4:$D$123,MATCH(LARGE('ENTRADA DATOS'!$L$4:$L$123,30),'ENTRADA DATOS'!$L$4:$L$123,0)),"")</f>
        <v/>
      </c>
      <c r="E33" s="4" t="str">
        <f>IFERROR(INDEX('ENTRADA DATOS'!$E$4:$E$123,MATCH(LARGE('ENTRADA DATOS'!$L$4:$L$123,30),'ENTRADA DATOS'!$L$4:$L$123,0)),"")</f>
        <v/>
      </c>
      <c r="F33" s="4" t="str">
        <f>IFERROR(INDEX('ENTRADA DATOS'!$F$4:$F$123,MATCH(LARGE('ENTRADA DATOS'!$L$4:$L$123,30),'ENTRADA DATOS'!$L$4:$L$123,0)),"")</f>
        <v/>
      </c>
      <c r="G33" s="4" t="str">
        <f>IFERROR(INDEX('ENTRADA DATOS'!$G$4:$G$123,MATCH(LARGE('ENTRADA DATOS'!$L$4:$L$123,30),'ENTRADA DATOS'!$L$4:$L$123,0)),"")</f>
        <v/>
      </c>
      <c r="H33" s="4" t="str">
        <f>IFERROR(INDEX('ENTRADA DATOS'!$H$4:$H$123,MATCH(LARGE('ENTRADA DATOS'!$L$4:$L$123,30),'ENTRADA DATOS'!$L$4:$L$123,0)),"")</f>
        <v/>
      </c>
      <c r="I33" s="4" t="str">
        <f>IFERROR(INDEX('ENTRADA DATOS'!$I$4:$I$123,MATCH(LARGE('ENTRADA DATOS'!$L$4:$L$123,30),'ENTRADA DATOS'!$L$4:$L$123,0)),"")</f>
        <v/>
      </c>
      <c r="J33" s="5" t="str">
        <f>IFERROR(INDEX('ENTRADA DATOS'!$J$4:$J$123,MATCH(LARGE('ENTRADA DATOS'!$L$4:$L$123,30),'ENTRADA DATOS'!$L$4:$L$123,0)),"")</f>
        <v/>
      </c>
      <c r="K33" s="5" t="str">
        <f>IFERROR(INDEX('ENTRADA DATOS'!$K$4:$K$123,MATCH(LARGE('ENTRADA DATOS'!$L$4:$L$123,30),'ENTRADA DATOS'!$L$4:$L$123,0)),"")</f>
        <v/>
      </c>
    </row>
    <row r="34" spans="1:11" x14ac:dyDescent="0.3">
      <c r="A34" s="2" t="str">
        <f>IF(I34="","",31)</f>
        <v/>
      </c>
      <c r="B34" s="3" t="str">
        <f>IFERROR(INDEX('ENTRADA DATOS'!$B$4:$B$123,MATCH(LARGE('ENTRADA DATOS'!$L$4:$L$123,31),'ENTRADA DATOS'!$L$4:$L$123,0)),"")</f>
        <v/>
      </c>
      <c r="C34" s="2" t="str">
        <f>IFERROR(INDEX('ENTRADA DATOS'!$C$4:$C$123,MATCH(LARGE('ENTRADA DATOS'!$L$4:$L$123,31),'ENTRADA DATOS'!$L$4:$L$123,0)),"")</f>
        <v/>
      </c>
      <c r="D34" s="2" t="str">
        <f>IFERROR(INDEX('ENTRADA DATOS'!$D$4:$D$123,MATCH(LARGE('ENTRADA DATOS'!$L$4:$L$123,31),'ENTRADA DATOS'!$L$4:$L$123,0)),"")</f>
        <v/>
      </c>
      <c r="E34" s="2" t="str">
        <f>IFERROR(INDEX('ENTRADA DATOS'!$E$4:$E$123,MATCH(LARGE('ENTRADA DATOS'!$L$4:$L$123,31),'ENTRADA DATOS'!$L$4:$L$123,0)),"")</f>
        <v/>
      </c>
      <c r="F34" s="2" t="str">
        <f>IFERROR(INDEX('ENTRADA DATOS'!$F$4:$F$123,MATCH(LARGE('ENTRADA DATOS'!$L$4:$L$123,31),'ENTRADA DATOS'!$L$4:$L$123,0)),"")</f>
        <v/>
      </c>
      <c r="G34" s="2" t="str">
        <f>IFERROR(INDEX('ENTRADA DATOS'!$G$4:$G$123,MATCH(LARGE('ENTRADA DATOS'!$L$4:$L$123,31),'ENTRADA DATOS'!$L$4:$L$123,0)),"")</f>
        <v/>
      </c>
      <c r="H34" s="2" t="str">
        <f>IFERROR(INDEX('ENTRADA DATOS'!$H$4:$H$123,MATCH(LARGE('ENTRADA DATOS'!$L$4:$L$123,31),'ENTRADA DATOS'!$L$4:$L$123,0)),"")</f>
        <v/>
      </c>
      <c r="I34" s="2" t="str">
        <f>IFERROR(INDEX('ENTRADA DATOS'!$I$4:$I$123,MATCH(LARGE('ENTRADA DATOS'!$L$4:$L$123,31),'ENTRADA DATOS'!$L$4:$L$123,0)),"")</f>
        <v/>
      </c>
      <c r="J34" s="3" t="str">
        <f>IFERROR(INDEX('ENTRADA DATOS'!$J$4:$J$123,MATCH(LARGE('ENTRADA DATOS'!$L$4:$L$123,31),'ENTRADA DATOS'!$L$4:$L$123,0)),"")</f>
        <v/>
      </c>
      <c r="K34" s="3" t="str">
        <f>IFERROR(INDEX('ENTRADA DATOS'!$K$4:$K$123,MATCH(LARGE('ENTRADA DATOS'!$L$4:$L$123,31),'ENTRADA DATOS'!$L$4:$L$123,0)),"")</f>
        <v/>
      </c>
    </row>
    <row r="35" spans="1:11" x14ac:dyDescent="0.3">
      <c r="A35" s="4" t="str">
        <f>IF(I35="","",32)</f>
        <v/>
      </c>
      <c r="B35" s="5" t="str">
        <f>IFERROR(INDEX('ENTRADA DATOS'!$B$4:$B$123,MATCH(LARGE('ENTRADA DATOS'!$L$4:$L$123,32),'ENTRADA DATOS'!$L$4:$L$123,0)),"")</f>
        <v/>
      </c>
      <c r="C35" s="4" t="str">
        <f>IFERROR(INDEX('ENTRADA DATOS'!$C$4:$C$123,MATCH(LARGE('ENTRADA DATOS'!$L$4:$L$123,32),'ENTRADA DATOS'!$L$4:$L$123,0)),"")</f>
        <v/>
      </c>
      <c r="D35" s="4" t="str">
        <f>IFERROR(INDEX('ENTRADA DATOS'!$D$4:$D$123,MATCH(LARGE('ENTRADA DATOS'!$L$4:$L$123,32),'ENTRADA DATOS'!$L$4:$L$123,0)),"")</f>
        <v/>
      </c>
      <c r="E35" s="4" t="str">
        <f>IFERROR(INDEX('ENTRADA DATOS'!$E$4:$E$123,MATCH(LARGE('ENTRADA DATOS'!$L$4:$L$123,32),'ENTRADA DATOS'!$L$4:$L$123,0)),"")</f>
        <v/>
      </c>
      <c r="F35" s="4" t="str">
        <f>IFERROR(INDEX('ENTRADA DATOS'!$F$4:$F$123,MATCH(LARGE('ENTRADA DATOS'!$L$4:$L$123,32),'ENTRADA DATOS'!$L$4:$L$123,0)),"")</f>
        <v/>
      </c>
      <c r="G35" s="4" t="str">
        <f>IFERROR(INDEX('ENTRADA DATOS'!$G$4:$G$123,MATCH(LARGE('ENTRADA DATOS'!$L$4:$L$123,32),'ENTRADA DATOS'!$L$4:$L$123,0)),"")</f>
        <v/>
      </c>
      <c r="H35" s="4" t="str">
        <f>IFERROR(INDEX('ENTRADA DATOS'!$H$4:$H$123,MATCH(LARGE('ENTRADA DATOS'!$L$4:$L$123,32),'ENTRADA DATOS'!$L$4:$L$123,0)),"")</f>
        <v/>
      </c>
      <c r="I35" s="4" t="str">
        <f>IFERROR(INDEX('ENTRADA DATOS'!$I$4:$I$123,MATCH(LARGE('ENTRADA DATOS'!$L$4:$L$123,32),'ENTRADA DATOS'!$L$4:$L$123,0)),"")</f>
        <v/>
      </c>
      <c r="J35" s="5" t="str">
        <f>IFERROR(INDEX('ENTRADA DATOS'!$J$4:$J$123,MATCH(LARGE('ENTRADA DATOS'!$L$4:$L$123,32),'ENTRADA DATOS'!$L$4:$L$123,0)),"")</f>
        <v/>
      </c>
      <c r="K35" s="5" t="str">
        <f>IFERROR(INDEX('ENTRADA DATOS'!$K$4:$K$123,MATCH(LARGE('ENTRADA DATOS'!$L$4:$L$123,32),'ENTRADA DATOS'!$L$4:$L$123,0)),"")</f>
        <v/>
      </c>
    </row>
    <row r="36" spans="1:11" x14ac:dyDescent="0.3">
      <c r="A36" s="2" t="str">
        <f>IF(I36="","",33)</f>
        <v/>
      </c>
      <c r="B36" s="3" t="str">
        <f>IFERROR(INDEX('ENTRADA DATOS'!$B$4:$B$123,MATCH(LARGE('ENTRADA DATOS'!$L$4:$L$123,33),'ENTRADA DATOS'!$L$4:$L$123,0)),"")</f>
        <v/>
      </c>
      <c r="C36" s="2" t="str">
        <f>IFERROR(INDEX('ENTRADA DATOS'!$C$4:$C$123,MATCH(LARGE('ENTRADA DATOS'!$L$4:$L$123,33),'ENTRADA DATOS'!$L$4:$L$123,0)),"")</f>
        <v/>
      </c>
      <c r="D36" s="2" t="str">
        <f>IFERROR(INDEX('ENTRADA DATOS'!$D$4:$D$123,MATCH(LARGE('ENTRADA DATOS'!$L$4:$L$123,33),'ENTRADA DATOS'!$L$4:$L$123,0)),"")</f>
        <v/>
      </c>
      <c r="E36" s="2" t="str">
        <f>IFERROR(INDEX('ENTRADA DATOS'!$E$4:$E$123,MATCH(LARGE('ENTRADA DATOS'!$L$4:$L$123,33),'ENTRADA DATOS'!$L$4:$L$123,0)),"")</f>
        <v/>
      </c>
      <c r="F36" s="2" t="str">
        <f>IFERROR(INDEX('ENTRADA DATOS'!$F$4:$F$123,MATCH(LARGE('ENTRADA DATOS'!$L$4:$L$123,33),'ENTRADA DATOS'!$L$4:$L$123,0)),"")</f>
        <v/>
      </c>
      <c r="G36" s="2" t="str">
        <f>IFERROR(INDEX('ENTRADA DATOS'!$G$4:$G$123,MATCH(LARGE('ENTRADA DATOS'!$L$4:$L$123,33),'ENTRADA DATOS'!$L$4:$L$123,0)),"")</f>
        <v/>
      </c>
      <c r="H36" s="2" t="str">
        <f>IFERROR(INDEX('ENTRADA DATOS'!$H$4:$H$123,MATCH(LARGE('ENTRADA DATOS'!$L$4:$L$123,33),'ENTRADA DATOS'!$L$4:$L$123,0)),"")</f>
        <v/>
      </c>
      <c r="I36" s="2" t="str">
        <f>IFERROR(INDEX('ENTRADA DATOS'!$I$4:$I$123,MATCH(LARGE('ENTRADA DATOS'!$L$4:$L$123,33),'ENTRADA DATOS'!$L$4:$L$123,0)),"")</f>
        <v/>
      </c>
      <c r="J36" s="3" t="str">
        <f>IFERROR(INDEX('ENTRADA DATOS'!$J$4:$J$123,MATCH(LARGE('ENTRADA DATOS'!$L$4:$L$123,33),'ENTRADA DATOS'!$L$4:$L$123,0)),"")</f>
        <v/>
      </c>
      <c r="K36" s="3" t="str">
        <f>IFERROR(INDEX('ENTRADA DATOS'!$K$4:$K$123,MATCH(LARGE('ENTRADA DATOS'!$L$4:$L$123,33),'ENTRADA DATOS'!$L$4:$L$123,0)),"")</f>
        <v/>
      </c>
    </row>
    <row r="37" spans="1:11" x14ac:dyDescent="0.3">
      <c r="A37" s="4" t="str">
        <f>IF(I37="","",34)</f>
        <v/>
      </c>
      <c r="B37" s="5" t="str">
        <f>IFERROR(INDEX('ENTRADA DATOS'!$B$4:$B$123,MATCH(LARGE('ENTRADA DATOS'!$L$4:$L$123,34),'ENTRADA DATOS'!$L$4:$L$123,0)),"")</f>
        <v/>
      </c>
      <c r="C37" s="4" t="str">
        <f>IFERROR(INDEX('ENTRADA DATOS'!$C$4:$C$123,MATCH(LARGE('ENTRADA DATOS'!$L$4:$L$123,34),'ENTRADA DATOS'!$L$4:$L$123,0)),"")</f>
        <v/>
      </c>
      <c r="D37" s="4" t="str">
        <f>IFERROR(INDEX('ENTRADA DATOS'!$D$4:$D$123,MATCH(LARGE('ENTRADA DATOS'!$L$4:$L$123,34),'ENTRADA DATOS'!$L$4:$L$123,0)),"")</f>
        <v/>
      </c>
      <c r="E37" s="4" t="str">
        <f>IFERROR(INDEX('ENTRADA DATOS'!$E$4:$E$123,MATCH(LARGE('ENTRADA DATOS'!$L$4:$L$123,34),'ENTRADA DATOS'!$L$4:$L$123,0)),"")</f>
        <v/>
      </c>
      <c r="F37" s="4" t="str">
        <f>IFERROR(INDEX('ENTRADA DATOS'!$F$4:$F$123,MATCH(LARGE('ENTRADA DATOS'!$L$4:$L$123,34),'ENTRADA DATOS'!$L$4:$L$123,0)),"")</f>
        <v/>
      </c>
      <c r="G37" s="4" t="str">
        <f>IFERROR(INDEX('ENTRADA DATOS'!$G$4:$G$123,MATCH(LARGE('ENTRADA DATOS'!$L$4:$L$123,34),'ENTRADA DATOS'!$L$4:$L$123,0)),"")</f>
        <v/>
      </c>
      <c r="H37" s="4" t="str">
        <f>IFERROR(INDEX('ENTRADA DATOS'!$H$4:$H$123,MATCH(LARGE('ENTRADA DATOS'!$L$4:$L$123,34),'ENTRADA DATOS'!$L$4:$L$123,0)),"")</f>
        <v/>
      </c>
      <c r="I37" s="4" t="str">
        <f>IFERROR(INDEX('ENTRADA DATOS'!$I$4:$I$123,MATCH(LARGE('ENTRADA DATOS'!$L$4:$L$123,34),'ENTRADA DATOS'!$L$4:$L$123,0)),"")</f>
        <v/>
      </c>
      <c r="J37" s="5" t="str">
        <f>IFERROR(INDEX('ENTRADA DATOS'!$J$4:$J$123,MATCH(LARGE('ENTRADA DATOS'!$L$4:$L$123,34),'ENTRADA DATOS'!$L$4:$L$123,0)),"")</f>
        <v/>
      </c>
      <c r="K37" s="5" t="str">
        <f>IFERROR(INDEX('ENTRADA DATOS'!$K$4:$K$123,MATCH(LARGE('ENTRADA DATOS'!$L$4:$L$123,34),'ENTRADA DATOS'!$L$4:$L$123,0)),"")</f>
        <v/>
      </c>
    </row>
    <row r="38" spans="1:11" x14ac:dyDescent="0.3">
      <c r="A38" s="2" t="str">
        <f>IF(I38="","",35)</f>
        <v/>
      </c>
      <c r="B38" s="3" t="str">
        <f>IFERROR(INDEX('ENTRADA DATOS'!$B$4:$B$123,MATCH(LARGE('ENTRADA DATOS'!$L$4:$L$123,35),'ENTRADA DATOS'!$L$4:$L$123,0)),"")</f>
        <v/>
      </c>
      <c r="C38" s="2" t="str">
        <f>IFERROR(INDEX('ENTRADA DATOS'!$C$4:$C$123,MATCH(LARGE('ENTRADA DATOS'!$L$4:$L$123,35),'ENTRADA DATOS'!$L$4:$L$123,0)),"")</f>
        <v/>
      </c>
      <c r="D38" s="2" t="str">
        <f>IFERROR(INDEX('ENTRADA DATOS'!$D$4:$D$123,MATCH(LARGE('ENTRADA DATOS'!$L$4:$L$123,35),'ENTRADA DATOS'!$L$4:$L$123,0)),"")</f>
        <v/>
      </c>
      <c r="E38" s="2" t="str">
        <f>IFERROR(INDEX('ENTRADA DATOS'!$E$4:$E$123,MATCH(LARGE('ENTRADA DATOS'!$L$4:$L$123,35),'ENTRADA DATOS'!$L$4:$L$123,0)),"")</f>
        <v/>
      </c>
      <c r="F38" s="2" t="str">
        <f>IFERROR(INDEX('ENTRADA DATOS'!$F$4:$F$123,MATCH(LARGE('ENTRADA DATOS'!$L$4:$L$123,35),'ENTRADA DATOS'!$L$4:$L$123,0)),"")</f>
        <v/>
      </c>
      <c r="G38" s="2" t="str">
        <f>IFERROR(INDEX('ENTRADA DATOS'!$G$4:$G$123,MATCH(LARGE('ENTRADA DATOS'!$L$4:$L$123,35),'ENTRADA DATOS'!$L$4:$L$123,0)),"")</f>
        <v/>
      </c>
      <c r="H38" s="2" t="str">
        <f>IFERROR(INDEX('ENTRADA DATOS'!$H$4:$H$123,MATCH(LARGE('ENTRADA DATOS'!$L$4:$L$123,35),'ENTRADA DATOS'!$L$4:$L$123,0)),"")</f>
        <v/>
      </c>
      <c r="I38" s="2" t="str">
        <f>IFERROR(INDEX('ENTRADA DATOS'!$I$4:$I$123,MATCH(LARGE('ENTRADA DATOS'!$L$4:$L$123,35),'ENTRADA DATOS'!$L$4:$L$123,0)),"")</f>
        <v/>
      </c>
      <c r="J38" s="3" t="str">
        <f>IFERROR(INDEX('ENTRADA DATOS'!$J$4:$J$123,MATCH(LARGE('ENTRADA DATOS'!$L$4:$L$123,35),'ENTRADA DATOS'!$L$4:$L$123,0)),"")</f>
        <v/>
      </c>
      <c r="K38" s="3" t="str">
        <f>IFERROR(INDEX('ENTRADA DATOS'!$K$4:$K$123,MATCH(LARGE('ENTRADA DATOS'!$L$4:$L$123,35),'ENTRADA DATOS'!$L$4:$L$123,0)),"")</f>
        <v/>
      </c>
    </row>
    <row r="39" spans="1:11" x14ac:dyDescent="0.3">
      <c r="A39" s="4" t="str">
        <f>IF(I39="","",36)</f>
        <v/>
      </c>
      <c r="B39" s="5" t="str">
        <f>IFERROR(INDEX('ENTRADA DATOS'!$B$4:$B$123,MATCH(LARGE('ENTRADA DATOS'!$L$4:$L$123,36),'ENTRADA DATOS'!$L$4:$L$123,0)),"")</f>
        <v/>
      </c>
      <c r="C39" s="4" t="str">
        <f>IFERROR(INDEX('ENTRADA DATOS'!$C$4:$C$123,MATCH(LARGE('ENTRADA DATOS'!$L$4:$L$123,36),'ENTRADA DATOS'!$L$4:$L$123,0)),"")</f>
        <v/>
      </c>
      <c r="D39" s="4" t="str">
        <f>IFERROR(INDEX('ENTRADA DATOS'!$D$4:$D$123,MATCH(LARGE('ENTRADA DATOS'!$L$4:$L$123,36),'ENTRADA DATOS'!$L$4:$L$123,0)),"")</f>
        <v/>
      </c>
      <c r="E39" s="4" t="str">
        <f>IFERROR(INDEX('ENTRADA DATOS'!$E$4:$E$123,MATCH(LARGE('ENTRADA DATOS'!$L$4:$L$123,36),'ENTRADA DATOS'!$L$4:$L$123,0)),"")</f>
        <v/>
      </c>
      <c r="F39" s="4" t="str">
        <f>IFERROR(INDEX('ENTRADA DATOS'!$F$4:$F$123,MATCH(LARGE('ENTRADA DATOS'!$L$4:$L$123,36),'ENTRADA DATOS'!$L$4:$L$123,0)),"")</f>
        <v/>
      </c>
      <c r="G39" s="4" t="str">
        <f>IFERROR(INDEX('ENTRADA DATOS'!$G$4:$G$123,MATCH(LARGE('ENTRADA DATOS'!$L$4:$L$123,36),'ENTRADA DATOS'!$L$4:$L$123,0)),"")</f>
        <v/>
      </c>
      <c r="H39" s="4" t="str">
        <f>IFERROR(INDEX('ENTRADA DATOS'!$H$4:$H$123,MATCH(LARGE('ENTRADA DATOS'!$L$4:$L$123,36),'ENTRADA DATOS'!$L$4:$L$123,0)),"")</f>
        <v/>
      </c>
      <c r="I39" s="4" t="str">
        <f>IFERROR(INDEX('ENTRADA DATOS'!$I$4:$I$123,MATCH(LARGE('ENTRADA DATOS'!$L$4:$L$123,36),'ENTRADA DATOS'!$L$4:$L$123,0)),"")</f>
        <v/>
      </c>
      <c r="J39" s="5" t="str">
        <f>IFERROR(INDEX('ENTRADA DATOS'!$J$4:$J$123,MATCH(LARGE('ENTRADA DATOS'!$L$4:$L$123,36),'ENTRADA DATOS'!$L$4:$L$123,0)),"")</f>
        <v/>
      </c>
      <c r="K39" s="5" t="str">
        <f>IFERROR(INDEX('ENTRADA DATOS'!$K$4:$K$123,MATCH(LARGE('ENTRADA DATOS'!$L$4:$L$123,36),'ENTRADA DATOS'!$L$4:$L$123,0)),"")</f>
        <v/>
      </c>
    </row>
    <row r="40" spans="1:11" x14ac:dyDescent="0.3">
      <c r="A40" s="2" t="str">
        <f>IF(I40="","",37)</f>
        <v/>
      </c>
      <c r="B40" s="3" t="str">
        <f>IFERROR(INDEX('ENTRADA DATOS'!$B$4:$B$123,MATCH(LARGE('ENTRADA DATOS'!$L$4:$L$123,37),'ENTRADA DATOS'!$L$4:$L$123,0)),"")</f>
        <v/>
      </c>
      <c r="C40" s="2" t="str">
        <f>IFERROR(INDEX('ENTRADA DATOS'!$C$4:$C$123,MATCH(LARGE('ENTRADA DATOS'!$L$4:$L$123,37),'ENTRADA DATOS'!$L$4:$L$123,0)),"")</f>
        <v/>
      </c>
      <c r="D40" s="2" t="str">
        <f>IFERROR(INDEX('ENTRADA DATOS'!$D$4:$D$123,MATCH(LARGE('ENTRADA DATOS'!$L$4:$L$123,37),'ENTRADA DATOS'!$L$4:$L$123,0)),"")</f>
        <v/>
      </c>
      <c r="E40" s="2" t="str">
        <f>IFERROR(INDEX('ENTRADA DATOS'!$E$4:$E$123,MATCH(LARGE('ENTRADA DATOS'!$L$4:$L$123,37),'ENTRADA DATOS'!$L$4:$L$123,0)),"")</f>
        <v/>
      </c>
      <c r="F40" s="2" t="str">
        <f>IFERROR(INDEX('ENTRADA DATOS'!$F$4:$F$123,MATCH(LARGE('ENTRADA DATOS'!$L$4:$L$123,37),'ENTRADA DATOS'!$L$4:$L$123,0)),"")</f>
        <v/>
      </c>
      <c r="G40" s="2" t="str">
        <f>IFERROR(INDEX('ENTRADA DATOS'!$G$4:$G$123,MATCH(LARGE('ENTRADA DATOS'!$L$4:$L$123,37),'ENTRADA DATOS'!$L$4:$L$123,0)),"")</f>
        <v/>
      </c>
      <c r="H40" s="2" t="str">
        <f>IFERROR(INDEX('ENTRADA DATOS'!$H$4:$H$123,MATCH(LARGE('ENTRADA DATOS'!$L$4:$L$123,37),'ENTRADA DATOS'!$L$4:$L$123,0)),"")</f>
        <v/>
      </c>
      <c r="I40" s="2" t="str">
        <f>IFERROR(INDEX('ENTRADA DATOS'!$I$4:$I$123,MATCH(LARGE('ENTRADA DATOS'!$L$4:$L$123,37),'ENTRADA DATOS'!$L$4:$L$123,0)),"")</f>
        <v/>
      </c>
      <c r="J40" s="3" t="str">
        <f>IFERROR(INDEX('ENTRADA DATOS'!$J$4:$J$123,MATCH(LARGE('ENTRADA DATOS'!$L$4:$L$123,37),'ENTRADA DATOS'!$L$4:$L$123,0)),"")</f>
        <v/>
      </c>
      <c r="K40" s="3" t="str">
        <f>IFERROR(INDEX('ENTRADA DATOS'!$K$4:$K$123,MATCH(LARGE('ENTRADA DATOS'!$L$4:$L$123,37),'ENTRADA DATOS'!$L$4:$L$123,0)),"")</f>
        <v/>
      </c>
    </row>
    <row r="41" spans="1:11" x14ac:dyDescent="0.3">
      <c r="A41" s="4" t="str">
        <f>IF(I41="","",38)</f>
        <v/>
      </c>
      <c r="B41" s="5" t="str">
        <f>IFERROR(INDEX('ENTRADA DATOS'!$B$4:$B$123,MATCH(LARGE('ENTRADA DATOS'!$L$4:$L$123,38),'ENTRADA DATOS'!$L$4:$L$123,0)),"")</f>
        <v/>
      </c>
      <c r="C41" s="4" t="str">
        <f>IFERROR(INDEX('ENTRADA DATOS'!$C$4:$C$123,MATCH(LARGE('ENTRADA DATOS'!$L$4:$L$123,38),'ENTRADA DATOS'!$L$4:$L$123,0)),"")</f>
        <v/>
      </c>
      <c r="D41" s="4" t="str">
        <f>IFERROR(INDEX('ENTRADA DATOS'!$D$4:$D$123,MATCH(LARGE('ENTRADA DATOS'!$L$4:$L$123,38),'ENTRADA DATOS'!$L$4:$L$123,0)),"")</f>
        <v/>
      </c>
      <c r="E41" s="4" t="str">
        <f>IFERROR(INDEX('ENTRADA DATOS'!$E$4:$E$123,MATCH(LARGE('ENTRADA DATOS'!$L$4:$L$123,38),'ENTRADA DATOS'!$L$4:$L$123,0)),"")</f>
        <v/>
      </c>
      <c r="F41" s="4" t="str">
        <f>IFERROR(INDEX('ENTRADA DATOS'!$F$4:$F$123,MATCH(LARGE('ENTRADA DATOS'!$L$4:$L$123,38),'ENTRADA DATOS'!$L$4:$L$123,0)),"")</f>
        <v/>
      </c>
      <c r="G41" s="4" t="str">
        <f>IFERROR(INDEX('ENTRADA DATOS'!$G$4:$G$123,MATCH(LARGE('ENTRADA DATOS'!$L$4:$L$123,38),'ENTRADA DATOS'!$L$4:$L$123,0)),"")</f>
        <v/>
      </c>
      <c r="H41" s="4" t="str">
        <f>IFERROR(INDEX('ENTRADA DATOS'!$H$4:$H$123,MATCH(LARGE('ENTRADA DATOS'!$L$4:$L$123,38),'ENTRADA DATOS'!$L$4:$L$123,0)),"")</f>
        <v/>
      </c>
      <c r="I41" s="4" t="str">
        <f>IFERROR(INDEX('ENTRADA DATOS'!$I$4:$I$123,MATCH(LARGE('ENTRADA DATOS'!$L$4:$L$123,38),'ENTRADA DATOS'!$L$4:$L$123,0)),"")</f>
        <v/>
      </c>
      <c r="J41" s="5" t="str">
        <f>IFERROR(INDEX('ENTRADA DATOS'!$J$4:$J$123,MATCH(LARGE('ENTRADA DATOS'!$L$4:$L$123,38),'ENTRADA DATOS'!$L$4:$L$123,0)),"")</f>
        <v/>
      </c>
      <c r="K41" s="5" t="str">
        <f>IFERROR(INDEX('ENTRADA DATOS'!$K$4:$K$123,MATCH(LARGE('ENTRADA DATOS'!$L$4:$L$123,38),'ENTRADA DATOS'!$L$4:$L$123,0)),"")</f>
        <v/>
      </c>
    </row>
    <row r="42" spans="1:11" x14ac:dyDescent="0.3">
      <c r="A42" s="2" t="str">
        <f>IF(I42="","",39)</f>
        <v/>
      </c>
      <c r="B42" s="3" t="str">
        <f>IFERROR(INDEX('ENTRADA DATOS'!$B$4:$B$123,MATCH(LARGE('ENTRADA DATOS'!$L$4:$L$123,39),'ENTRADA DATOS'!$L$4:$L$123,0)),"")</f>
        <v/>
      </c>
      <c r="C42" s="2" t="str">
        <f>IFERROR(INDEX('ENTRADA DATOS'!$C$4:$C$123,MATCH(LARGE('ENTRADA DATOS'!$L$4:$L$123,39),'ENTRADA DATOS'!$L$4:$L$123,0)),"")</f>
        <v/>
      </c>
      <c r="D42" s="2" t="str">
        <f>IFERROR(INDEX('ENTRADA DATOS'!$D$4:$D$123,MATCH(LARGE('ENTRADA DATOS'!$L$4:$L$123,39),'ENTRADA DATOS'!$L$4:$L$123,0)),"")</f>
        <v/>
      </c>
      <c r="E42" s="2" t="str">
        <f>IFERROR(INDEX('ENTRADA DATOS'!$E$4:$E$123,MATCH(LARGE('ENTRADA DATOS'!$L$4:$L$123,39),'ENTRADA DATOS'!$L$4:$L$123,0)),"")</f>
        <v/>
      </c>
      <c r="F42" s="2" t="str">
        <f>IFERROR(INDEX('ENTRADA DATOS'!$F$4:$F$123,MATCH(LARGE('ENTRADA DATOS'!$L$4:$L$123,39),'ENTRADA DATOS'!$L$4:$L$123,0)),"")</f>
        <v/>
      </c>
      <c r="G42" s="2" t="str">
        <f>IFERROR(INDEX('ENTRADA DATOS'!$G$4:$G$123,MATCH(LARGE('ENTRADA DATOS'!$L$4:$L$123,39),'ENTRADA DATOS'!$L$4:$L$123,0)),"")</f>
        <v/>
      </c>
      <c r="H42" s="2" t="str">
        <f>IFERROR(INDEX('ENTRADA DATOS'!$H$4:$H$123,MATCH(LARGE('ENTRADA DATOS'!$L$4:$L$123,39),'ENTRADA DATOS'!$L$4:$L$123,0)),"")</f>
        <v/>
      </c>
      <c r="I42" s="2" t="str">
        <f>IFERROR(INDEX('ENTRADA DATOS'!$I$4:$I$123,MATCH(LARGE('ENTRADA DATOS'!$L$4:$L$123,39),'ENTRADA DATOS'!$L$4:$L$123,0)),"")</f>
        <v/>
      </c>
      <c r="J42" s="3" t="str">
        <f>IFERROR(INDEX('ENTRADA DATOS'!$J$4:$J$123,MATCH(LARGE('ENTRADA DATOS'!$L$4:$L$123,39),'ENTRADA DATOS'!$L$4:$L$123,0)),"")</f>
        <v/>
      </c>
      <c r="K42" s="3" t="str">
        <f>IFERROR(INDEX('ENTRADA DATOS'!$K$4:$K$123,MATCH(LARGE('ENTRADA DATOS'!$L$4:$L$123,39),'ENTRADA DATOS'!$L$4:$L$123,0)),"")</f>
        <v/>
      </c>
    </row>
    <row r="43" spans="1:11" x14ac:dyDescent="0.3">
      <c r="A43" s="4" t="str">
        <f>IF(I43="","",40)</f>
        <v/>
      </c>
      <c r="B43" s="5" t="str">
        <f>IFERROR(INDEX('ENTRADA DATOS'!$B$4:$B$123,MATCH(LARGE('ENTRADA DATOS'!$L$4:$L$123,40),'ENTRADA DATOS'!$L$4:$L$123,0)),"")</f>
        <v/>
      </c>
      <c r="C43" s="4" t="str">
        <f>IFERROR(INDEX('ENTRADA DATOS'!$C$4:$C$123,MATCH(LARGE('ENTRADA DATOS'!$L$4:$L$123,40),'ENTRADA DATOS'!$L$4:$L$123,0)),"")</f>
        <v/>
      </c>
      <c r="D43" s="4" t="str">
        <f>IFERROR(INDEX('ENTRADA DATOS'!$D$4:$D$123,MATCH(LARGE('ENTRADA DATOS'!$L$4:$L$123,40),'ENTRADA DATOS'!$L$4:$L$123,0)),"")</f>
        <v/>
      </c>
      <c r="E43" s="4" t="str">
        <f>IFERROR(INDEX('ENTRADA DATOS'!$E$4:$E$123,MATCH(LARGE('ENTRADA DATOS'!$L$4:$L$123,40),'ENTRADA DATOS'!$L$4:$L$123,0)),"")</f>
        <v/>
      </c>
      <c r="F43" s="4" t="str">
        <f>IFERROR(INDEX('ENTRADA DATOS'!$F$4:$F$123,MATCH(LARGE('ENTRADA DATOS'!$L$4:$L$123,40),'ENTRADA DATOS'!$L$4:$L$123,0)),"")</f>
        <v/>
      </c>
      <c r="G43" s="4" t="str">
        <f>IFERROR(INDEX('ENTRADA DATOS'!$G$4:$G$123,MATCH(LARGE('ENTRADA DATOS'!$L$4:$L$123,40),'ENTRADA DATOS'!$L$4:$L$123,0)),"")</f>
        <v/>
      </c>
      <c r="H43" s="4" t="str">
        <f>IFERROR(INDEX('ENTRADA DATOS'!$H$4:$H$123,MATCH(LARGE('ENTRADA DATOS'!$L$4:$L$123,40),'ENTRADA DATOS'!$L$4:$L$123,0)),"")</f>
        <v/>
      </c>
      <c r="I43" s="4" t="str">
        <f>IFERROR(INDEX('ENTRADA DATOS'!$I$4:$I$123,MATCH(LARGE('ENTRADA DATOS'!$L$4:$L$123,40),'ENTRADA DATOS'!$L$4:$L$123,0)),"")</f>
        <v/>
      </c>
      <c r="J43" s="5" t="str">
        <f>IFERROR(INDEX('ENTRADA DATOS'!$J$4:$J$123,MATCH(LARGE('ENTRADA DATOS'!$L$4:$L$123,40),'ENTRADA DATOS'!$L$4:$L$123,0)),"")</f>
        <v/>
      </c>
      <c r="K43" s="5" t="str">
        <f>IFERROR(INDEX('ENTRADA DATOS'!$K$4:$K$123,MATCH(LARGE('ENTRADA DATOS'!$L$4:$L$123,40),'ENTRADA DATOS'!$L$4:$L$123,0)),"")</f>
        <v/>
      </c>
    </row>
    <row r="44" spans="1:11" x14ac:dyDescent="0.3">
      <c r="A44" s="2" t="str">
        <f>IF(I44="","",41)</f>
        <v/>
      </c>
      <c r="B44" s="3" t="str">
        <f>IFERROR(INDEX('ENTRADA DATOS'!$B$4:$B$123,MATCH(LARGE('ENTRADA DATOS'!$L$4:$L$123,41),'ENTRADA DATOS'!$L$4:$L$123,0)),"")</f>
        <v/>
      </c>
      <c r="C44" s="2" t="str">
        <f>IFERROR(INDEX('ENTRADA DATOS'!$C$4:$C$123,MATCH(LARGE('ENTRADA DATOS'!$L$4:$L$123,41),'ENTRADA DATOS'!$L$4:$L$123,0)),"")</f>
        <v/>
      </c>
      <c r="D44" s="2" t="str">
        <f>IFERROR(INDEX('ENTRADA DATOS'!$D$4:$D$123,MATCH(LARGE('ENTRADA DATOS'!$L$4:$L$123,41),'ENTRADA DATOS'!$L$4:$L$123,0)),"")</f>
        <v/>
      </c>
      <c r="E44" s="2" t="str">
        <f>IFERROR(INDEX('ENTRADA DATOS'!$E$4:$E$123,MATCH(LARGE('ENTRADA DATOS'!$L$4:$L$123,41),'ENTRADA DATOS'!$L$4:$L$123,0)),"")</f>
        <v/>
      </c>
      <c r="F44" s="2" t="str">
        <f>IFERROR(INDEX('ENTRADA DATOS'!$F$4:$F$123,MATCH(LARGE('ENTRADA DATOS'!$L$4:$L$123,41),'ENTRADA DATOS'!$L$4:$L$123,0)),"")</f>
        <v/>
      </c>
      <c r="G44" s="2" t="str">
        <f>IFERROR(INDEX('ENTRADA DATOS'!$G$4:$G$123,MATCH(LARGE('ENTRADA DATOS'!$L$4:$L$123,41),'ENTRADA DATOS'!$L$4:$L$123,0)),"")</f>
        <v/>
      </c>
      <c r="H44" s="2" t="str">
        <f>IFERROR(INDEX('ENTRADA DATOS'!$H$4:$H$123,MATCH(LARGE('ENTRADA DATOS'!$L$4:$L$123,41),'ENTRADA DATOS'!$L$4:$L$123,0)),"")</f>
        <v/>
      </c>
      <c r="I44" s="2" t="str">
        <f>IFERROR(INDEX('ENTRADA DATOS'!$I$4:$I$123,MATCH(LARGE('ENTRADA DATOS'!$L$4:$L$123,41),'ENTRADA DATOS'!$L$4:$L$123,0)),"")</f>
        <v/>
      </c>
      <c r="J44" s="3" t="str">
        <f>IFERROR(INDEX('ENTRADA DATOS'!$J$4:$J$123,MATCH(LARGE('ENTRADA DATOS'!$L$4:$L$123,41),'ENTRADA DATOS'!$L$4:$L$123,0)),"")</f>
        <v/>
      </c>
      <c r="K44" s="3" t="str">
        <f>IFERROR(INDEX('ENTRADA DATOS'!$K$4:$K$123,MATCH(LARGE('ENTRADA DATOS'!$L$4:$L$123,41),'ENTRADA DATOS'!$L$4:$L$123,0)),"")</f>
        <v/>
      </c>
    </row>
    <row r="45" spans="1:11" x14ac:dyDescent="0.3">
      <c r="A45" s="4" t="str">
        <f>IF(I45="","",42)</f>
        <v/>
      </c>
      <c r="B45" s="5" t="str">
        <f>IFERROR(INDEX('ENTRADA DATOS'!$B$4:$B$123,MATCH(LARGE('ENTRADA DATOS'!$L$4:$L$123,42),'ENTRADA DATOS'!$L$4:$L$123,0)),"")</f>
        <v/>
      </c>
      <c r="C45" s="4" t="str">
        <f>IFERROR(INDEX('ENTRADA DATOS'!$C$4:$C$123,MATCH(LARGE('ENTRADA DATOS'!$L$4:$L$123,42),'ENTRADA DATOS'!$L$4:$L$123,0)),"")</f>
        <v/>
      </c>
      <c r="D45" s="4" t="str">
        <f>IFERROR(INDEX('ENTRADA DATOS'!$D$4:$D$123,MATCH(LARGE('ENTRADA DATOS'!$L$4:$L$123,42),'ENTRADA DATOS'!$L$4:$L$123,0)),"")</f>
        <v/>
      </c>
      <c r="E45" s="4" t="str">
        <f>IFERROR(INDEX('ENTRADA DATOS'!$E$4:$E$123,MATCH(LARGE('ENTRADA DATOS'!$L$4:$L$123,42),'ENTRADA DATOS'!$L$4:$L$123,0)),"")</f>
        <v/>
      </c>
      <c r="F45" s="4" t="str">
        <f>IFERROR(INDEX('ENTRADA DATOS'!$F$4:$F$123,MATCH(LARGE('ENTRADA DATOS'!$L$4:$L$123,42),'ENTRADA DATOS'!$L$4:$L$123,0)),"")</f>
        <v/>
      </c>
      <c r="G45" s="4" t="str">
        <f>IFERROR(INDEX('ENTRADA DATOS'!$G$4:$G$123,MATCH(LARGE('ENTRADA DATOS'!$L$4:$L$123,42),'ENTRADA DATOS'!$L$4:$L$123,0)),"")</f>
        <v/>
      </c>
      <c r="H45" s="4" t="str">
        <f>IFERROR(INDEX('ENTRADA DATOS'!$H$4:$H$123,MATCH(LARGE('ENTRADA DATOS'!$L$4:$L$123,42),'ENTRADA DATOS'!$L$4:$L$123,0)),"")</f>
        <v/>
      </c>
      <c r="I45" s="4" t="str">
        <f>IFERROR(INDEX('ENTRADA DATOS'!$I$4:$I$123,MATCH(LARGE('ENTRADA DATOS'!$L$4:$L$123,42),'ENTRADA DATOS'!$L$4:$L$123,0)),"")</f>
        <v/>
      </c>
      <c r="J45" s="5" t="str">
        <f>IFERROR(INDEX('ENTRADA DATOS'!$J$4:$J$123,MATCH(LARGE('ENTRADA DATOS'!$L$4:$L$123,42),'ENTRADA DATOS'!$L$4:$L$123,0)),"")</f>
        <v/>
      </c>
      <c r="K45" s="5" t="str">
        <f>IFERROR(INDEX('ENTRADA DATOS'!$K$4:$K$123,MATCH(LARGE('ENTRADA DATOS'!$L$4:$L$123,42),'ENTRADA DATOS'!$L$4:$L$123,0)),"")</f>
        <v/>
      </c>
    </row>
    <row r="46" spans="1:11" x14ac:dyDescent="0.3">
      <c r="A46" s="2" t="str">
        <f>IF(I46="","",43)</f>
        <v/>
      </c>
      <c r="B46" s="3" t="str">
        <f>IFERROR(INDEX('ENTRADA DATOS'!$B$4:$B$123,MATCH(LARGE('ENTRADA DATOS'!$L$4:$L$123,43),'ENTRADA DATOS'!$L$4:$L$123,0)),"")</f>
        <v/>
      </c>
      <c r="C46" s="2" t="str">
        <f>IFERROR(INDEX('ENTRADA DATOS'!$C$4:$C$123,MATCH(LARGE('ENTRADA DATOS'!$L$4:$L$123,43),'ENTRADA DATOS'!$L$4:$L$123,0)),"")</f>
        <v/>
      </c>
      <c r="D46" s="2" t="str">
        <f>IFERROR(INDEX('ENTRADA DATOS'!$D$4:$D$123,MATCH(LARGE('ENTRADA DATOS'!$L$4:$L$123,43),'ENTRADA DATOS'!$L$4:$L$123,0)),"")</f>
        <v/>
      </c>
      <c r="E46" s="2" t="str">
        <f>IFERROR(INDEX('ENTRADA DATOS'!$E$4:$E$123,MATCH(LARGE('ENTRADA DATOS'!$L$4:$L$123,43),'ENTRADA DATOS'!$L$4:$L$123,0)),"")</f>
        <v/>
      </c>
      <c r="F46" s="2" t="str">
        <f>IFERROR(INDEX('ENTRADA DATOS'!$F$4:$F$123,MATCH(LARGE('ENTRADA DATOS'!$L$4:$L$123,43),'ENTRADA DATOS'!$L$4:$L$123,0)),"")</f>
        <v/>
      </c>
      <c r="G46" s="2" t="str">
        <f>IFERROR(INDEX('ENTRADA DATOS'!$G$4:$G$123,MATCH(LARGE('ENTRADA DATOS'!$L$4:$L$123,43),'ENTRADA DATOS'!$L$4:$L$123,0)),"")</f>
        <v/>
      </c>
      <c r="H46" s="2" t="str">
        <f>IFERROR(INDEX('ENTRADA DATOS'!$H$4:$H$123,MATCH(LARGE('ENTRADA DATOS'!$L$4:$L$123,43),'ENTRADA DATOS'!$L$4:$L$123,0)),"")</f>
        <v/>
      </c>
      <c r="I46" s="2" t="str">
        <f>IFERROR(INDEX('ENTRADA DATOS'!$I$4:$I$123,MATCH(LARGE('ENTRADA DATOS'!$L$4:$L$123,43),'ENTRADA DATOS'!$L$4:$L$123,0)),"")</f>
        <v/>
      </c>
      <c r="J46" s="3" t="str">
        <f>IFERROR(INDEX('ENTRADA DATOS'!$J$4:$J$123,MATCH(LARGE('ENTRADA DATOS'!$L$4:$L$123,43),'ENTRADA DATOS'!$L$4:$L$123,0)),"")</f>
        <v/>
      </c>
      <c r="K46" s="3" t="str">
        <f>IFERROR(INDEX('ENTRADA DATOS'!$K$4:$K$123,MATCH(LARGE('ENTRADA DATOS'!$L$4:$L$123,43),'ENTRADA DATOS'!$L$4:$L$123,0)),"")</f>
        <v/>
      </c>
    </row>
    <row r="47" spans="1:11" x14ac:dyDescent="0.3">
      <c r="A47" s="4" t="str">
        <f>IF(I47="","",44)</f>
        <v/>
      </c>
      <c r="B47" s="5" t="str">
        <f>IFERROR(INDEX('ENTRADA DATOS'!$B$4:$B$123,MATCH(LARGE('ENTRADA DATOS'!$L$4:$L$123,44),'ENTRADA DATOS'!$L$4:$L$123,0)),"")</f>
        <v/>
      </c>
      <c r="C47" s="4" t="str">
        <f>IFERROR(INDEX('ENTRADA DATOS'!$C$4:$C$123,MATCH(LARGE('ENTRADA DATOS'!$L$4:$L$123,44),'ENTRADA DATOS'!$L$4:$L$123,0)),"")</f>
        <v/>
      </c>
      <c r="D47" s="4" t="str">
        <f>IFERROR(INDEX('ENTRADA DATOS'!$D$4:$D$123,MATCH(LARGE('ENTRADA DATOS'!$L$4:$L$123,44),'ENTRADA DATOS'!$L$4:$L$123,0)),"")</f>
        <v/>
      </c>
      <c r="E47" s="4" t="str">
        <f>IFERROR(INDEX('ENTRADA DATOS'!$E$4:$E$123,MATCH(LARGE('ENTRADA DATOS'!$L$4:$L$123,44),'ENTRADA DATOS'!$L$4:$L$123,0)),"")</f>
        <v/>
      </c>
      <c r="F47" s="4" t="str">
        <f>IFERROR(INDEX('ENTRADA DATOS'!$F$4:$F$123,MATCH(LARGE('ENTRADA DATOS'!$L$4:$L$123,44),'ENTRADA DATOS'!$L$4:$L$123,0)),"")</f>
        <v/>
      </c>
      <c r="G47" s="4" t="str">
        <f>IFERROR(INDEX('ENTRADA DATOS'!$G$4:$G$123,MATCH(LARGE('ENTRADA DATOS'!$L$4:$L$123,44),'ENTRADA DATOS'!$L$4:$L$123,0)),"")</f>
        <v/>
      </c>
      <c r="H47" s="4" t="str">
        <f>IFERROR(INDEX('ENTRADA DATOS'!$H$4:$H$123,MATCH(LARGE('ENTRADA DATOS'!$L$4:$L$123,44),'ENTRADA DATOS'!$L$4:$L$123,0)),"")</f>
        <v/>
      </c>
      <c r="I47" s="4" t="str">
        <f>IFERROR(INDEX('ENTRADA DATOS'!$I$4:$I$123,MATCH(LARGE('ENTRADA DATOS'!$L$4:$L$123,44),'ENTRADA DATOS'!$L$4:$L$123,0)),"")</f>
        <v/>
      </c>
      <c r="J47" s="5" t="str">
        <f>IFERROR(INDEX('ENTRADA DATOS'!$J$4:$J$123,MATCH(LARGE('ENTRADA DATOS'!$L$4:$L$123,44),'ENTRADA DATOS'!$L$4:$L$123,0)),"")</f>
        <v/>
      </c>
      <c r="K47" s="5" t="str">
        <f>IFERROR(INDEX('ENTRADA DATOS'!$K$4:$K$123,MATCH(LARGE('ENTRADA DATOS'!$L$4:$L$123,44),'ENTRADA DATOS'!$L$4:$L$123,0)),"")</f>
        <v/>
      </c>
    </row>
    <row r="48" spans="1:11" x14ac:dyDescent="0.3">
      <c r="A48" s="2" t="str">
        <f>IF(I48="","",45)</f>
        <v/>
      </c>
      <c r="B48" s="3" t="str">
        <f>IFERROR(INDEX('ENTRADA DATOS'!$B$4:$B$123,MATCH(LARGE('ENTRADA DATOS'!$L$4:$L$123,45),'ENTRADA DATOS'!$L$4:$L$123,0)),"")</f>
        <v/>
      </c>
      <c r="C48" s="2" t="str">
        <f>IFERROR(INDEX('ENTRADA DATOS'!$C$4:$C$123,MATCH(LARGE('ENTRADA DATOS'!$L$4:$L$123,45),'ENTRADA DATOS'!$L$4:$L$123,0)),"")</f>
        <v/>
      </c>
      <c r="D48" s="2" t="str">
        <f>IFERROR(INDEX('ENTRADA DATOS'!$D$4:$D$123,MATCH(LARGE('ENTRADA DATOS'!$L$4:$L$123,45),'ENTRADA DATOS'!$L$4:$L$123,0)),"")</f>
        <v/>
      </c>
      <c r="E48" s="2" t="str">
        <f>IFERROR(INDEX('ENTRADA DATOS'!$E$4:$E$123,MATCH(LARGE('ENTRADA DATOS'!$L$4:$L$123,45),'ENTRADA DATOS'!$L$4:$L$123,0)),"")</f>
        <v/>
      </c>
      <c r="F48" s="2" t="str">
        <f>IFERROR(INDEX('ENTRADA DATOS'!$F$4:$F$123,MATCH(LARGE('ENTRADA DATOS'!$L$4:$L$123,45),'ENTRADA DATOS'!$L$4:$L$123,0)),"")</f>
        <v/>
      </c>
      <c r="G48" s="2" t="str">
        <f>IFERROR(INDEX('ENTRADA DATOS'!$G$4:$G$123,MATCH(LARGE('ENTRADA DATOS'!$L$4:$L$123,45),'ENTRADA DATOS'!$L$4:$L$123,0)),"")</f>
        <v/>
      </c>
      <c r="H48" s="2" t="str">
        <f>IFERROR(INDEX('ENTRADA DATOS'!$H$4:$H$123,MATCH(LARGE('ENTRADA DATOS'!$L$4:$L$123,45),'ENTRADA DATOS'!$L$4:$L$123,0)),"")</f>
        <v/>
      </c>
      <c r="I48" s="2" t="str">
        <f>IFERROR(INDEX('ENTRADA DATOS'!$I$4:$I$123,MATCH(LARGE('ENTRADA DATOS'!$L$4:$L$123,45),'ENTRADA DATOS'!$L$4:$L$123,0)),"")</f>
        <v/>
      </c>
      <c r="J48" s="3" t="str">
        <f>IFERROR(INDEX('ENTRADA DATOS'!$J$4:$J$123,MATCH(LARGE('ENTRADA DATOS'!$L$4:$L$123,45),'ENTRADA DATOS'!$L$4:$L$123,0)),"")</f>
        <v/>
      </c>
      <c r="K48" s="3" t="str">
        <f>IFERROR(INDEX('ENTRADA DATOS'!$K$4:$K$123,MATCH(LARGE('ENTRADA DATOS'!$L$4:$L$123,45),'ENTRADA DATOS'!$L$4:$L$123,0)),"")</f>
        <v/>
      </c>
    </row>
    <row r="49" spans="1:11" x14ac:dyDescent="0.3">
      <c r="A49" s="4" t="str">
        <f>IF(I49="","",46)</f>
        <v/>
      </c>
      <c r="B49" s="5" t="str">
        <f>IFERROR(INDEX('ENTRADA DATOS'!$B$4:$B$123,MATCH(LARGE('ENTRADA DATOS'!$L$4:$L$123,46),'ENTRADA DATOS'!$L$4:$L$123,0)),"")</f>
        <v/>
      </c>
      <c r="C49" s="4" t="str">
        <f>IFERROR(INDEX('ENTRADA DATOS'!$C$4:$C$123,MATCH(LARGE('ENTRADA DATOS'!$L$4:$L$123,46),'ENTRADA DATOS'!$L$4:$L$123,0)),"")</f>
        <v/>
      </c>
      <c r="D49" s="4" t="str">
        <f>IFERROR(INDEX('ENTRADA DATOS'!$D$4:$D$123,MATCH(LARGE('ENTRADA DATOS'!$L$4:$L$123,46),'ENTRADA DATOS'!$L$4:$L$123,0)),"")</f>
        <v/>
      </c>
      <c r="E49" s="4" t="str">
        <f>IFERROR(INDEX('ENTRADA DATOS'!$E$4:$E$123,MATCH(LARGE('ENTRADA DATOS'!$L$4:$L$123,46),'ENTRADA DATOS'!$L$4:$L$123,0)),"")</f>
        <v/>
      </c>
      <c r="F49" s="4" t="str">
        <f>IFERROR(INDEX('ENTRADA DATOS'!$F$4:$F$123,MATCH(LARGE('ENTRADA DATOS'!$L$4:$L$123,46),'ENTRADA DATOS'!$L$4:$L$123,0)),"")</f>
        <v/>
      </c>
      <c r="G49" s="4" t="str">
        <f>IFERROR(INDEX('ENTRADA DATOS'!$G$4:$G$123,MATCH(LARGE('ENTRADA DATOS'!$L$4:$L$123,46),'ENTRADA DATOS'!$L$4:$L$123,0)),"")</f>
        <v/>
      </c>
      <c r="H49" s="4" t="str">
        <f>IFERROR(INDEX('ENTRADA DATOS'!$H$4:$H$123,MATCH(LARGE('ENTRADA DATOS'!$L$4:$L$123,46),'ENTRADA DATOS'!$L$4:$L$123,0)),"")</f>
        <v/>
      </c>
      <c r="I49" s="4" t="str">
        <f>IFERROR(INDEX('ENTRADA DATOS'!$I$4:$I$123,MATCH(LARGE('ENTRADA DATOS'!$L$4:$L$123,46),'ENTRADA DATOS'!$L$4:$L$123,0)),"")</f>
        <v/>
      </c>
      <c r="J49" s="5" t="str">
        <f>IFERROR(INDEX('ENTRADA DATOS'!$J$4:$J$123,MATCH(LARGE('ENTRADA DATOS'!$L$4:$L$123,46),'ENTRADA DATOS'!$L$4:$L$123,0)),"")</f>
        <v/>
      </c>
      <c r="K49" s="5" t="str">
        <f>IFERROR(INDEX('ENTRADA DATOS'!$K$4:$K$123,MATCH(LARGE('ENTRADA DATOS'!$L$4:$L$123,46),'ENTRADA DATOS'!$L$4:$L$123,0)),"")</f>
        <v/>
      </c>
    </row>
    <row r="50" spans="1:11" x14ac:dyDescent="0.3">
      <c r="A50" s="2" t="str">
        <f>IF(I50="","",47)</f>
        <v/>
      </c>
      <c r="B50" s="3" t="str">
        <f>IFERROR(INDEX('ENTRADA DATOS'!$B$4:$B$123,MATCH(LARGE('ENTRADA DATOS'!$L$4:$L$123,47),'ENTRADA DATOS'!$L$4:$L$123,0)),"")</f>
        <v/>
      </c>
      <c r="C50" s="2" t="str">
        <f>IFERROR(INDEX('ENTRADA DATOS'!$C$4:$C$123,MATCH(LARGE('ENTRADA DATOS'!$L$4:$L$123,47),'ENTRADA DATOS'!$L$4:$L$123,0)),"")</f>
        <v/>
      </c>
      <c r="D50" s="2" t="str">
        <f>IFERROR(INDEX('ENTRADA DATOS'!$D$4:$D$123,MATCH(LARGE('ENTRADA DATOS'!$L$4:$L$123,47),'ENTRADA DATOS'!$L$4:$L$123,0)),"")</f>
        <v/>
      </c>
      <c r="E50" s="2" t="str">
        <f>IFERROR(INDEX('ENTRADA DATOS'!$E$4:$E$123,MATCH(LARGE('ENTRADA DATOS'!$L$4:$L$123,47),'ENTRADA DATOS'!$L$4:$L$123,0)),"")</f>
        <v/>
      </c>
      <c r="F50" s="2" t="str">
        <f>IFERROR(INDEX('ENTRADA DATOS'!$F$4:$F$123,MATCH(LARGE('ENTRADA DATOS'!$L$4:$L$123,47),'ENTRADA DATOS'!$L$4:$L$123,0)),"")</f>
        <v/>
      </c>
      <c r="G50" s="2" t="str">
        <f>IFERROR(INDEX('ENTRADA DATOS'!$G$4:$G$123,MATCH(LARGE('ENTRADA DATOS'!$L$4:$L$123,47),'ENTRADA DATOS'!$L$4:$L$123,0)),"")</f>
        <v/>
      </c>
      <c r="H50" s="2" t="str">
        <f>IFERROR(INDEX('ENTRADA DATOS'!$H$4:$H$123,MATCH(LARGE('ENTRADA DATOS'!$L$4:$L$123,47),'ENTRADA DATOS'!$L$4:$L$123,0)),"")</f>
        <v/>
      </c>
      <c r="I50" s="2" t="str">
        <f>IFERROR(INDEX('ENTRADA DATOS'!$I$4:$I$123,MATCH(LARGE('ENTRADA DATOS'!$L$4:$L$123,47),'ENTRADA DATOS'!$L$4:$L$123,0)),"")</f>
        <v/>
      </c>
      <c r="J50" s="3" t="str">
        <f>IFERROR(INDEX('ENTRADA DATOS'!$J$4:$J$123,MATCH(LARGE('ENTRADA DATOS'!$L$4:$L$123,47),'ENTRADA DATOS'!$L$4:$L$123,0)),"")</f>
        <v/>
      </c>
      <c r="K50" s="3" t="str">
        <f>IFERROR(INDEX('ENTRADA DATOS'!$K$4:$K$123,MATCH(LARGE('ENTRADA DATOS'!$L$4:$L$123,47),'ENTRADA DATOS'!$L$4:$L$123,0)),"")</f>
        <v/>
      </c>
    </row>
    <row r="51" spans="1:11" x14ac:dyDescent="0.3">
      <c r="A51" s="4" t="str">
        <f>IF(I51="","",48)</f>
        <v/>
      </c>
      <c r="B51" s="5" t="str">
        <f>IFERROR(INDEX('ENTRADA DATOS'!$B$4:$B$123,MATCH(LARGE('ENTRADA DATOS'!$L$4:$L$123,48),'ENTRADA DATOS'!$L$4:$L$123,0)),"")</f>
        <v/>
      </c>
      <c r="C51" s="4" t="str">
        <f>IFERROR(INDEX('ENTRADA DATOS'!$C$4:$C$123,MATCH(LARGE('ENTRADA DATOS'!$L$4:$L$123,48),'ENTRADA DATOS'!$L$4:$L$123,0)),"")</f>
        <v/>
      </c>
      <c r="D51" s="4" t="str">
        <f>IFERROR(INDEX('ENTRADA DATOS'!$D$4:$D$123,MATCH(LARGE('ENTRADA DATOS'!$L$4:$L$123,48),'ENTRADA DATOS'!$L$4:$L$123,0)),"")</f>
        <v/>
      </c>
      <c r="E51" s="4" t="str">
        <f>IFERROR(INDEX('ENTRADA DATOS'!$E$4:$E$123,MATCH(LARGE('ENTRADA DATOS'!$L$4:$L$123,48),'ENTRADA DATOS'!$L$4:$L$123,0)),"")</f>
        <v/>
      </c>
      <c r="F51" s="4" t="str">
        <f>IFERROR(INDEX('ENTRADA DATOS'!$F$4:$F$123,MATCH(LARGE('ENTRADA DATOS'!$L$4:$L$123,48),'ENTRADA DATOS'!$L$4:$L$123,0)),"")</f>
        <v/>
      </c>
      <c r="G51" s="4" t="str">
        <f>IFERROR(INDEX('ENTRADA DATOS'!$G$4:$G$123,MATCH(LARGE('ENTRADA DATOS'!$L$4:$L$123,48),'ENTRADA DATOS'!$L$4:$L$123,0)),"")</f>
        <v/>
      </c>
      <c r="H51" s="4" t="str">
        <f>IFERROR(INDEX('ENTRADA DATOS'!$H$4:$H$123,MATCH(LARGE('ENTRADA DATOS'!$L$4:$L$123,48),'ENTRADA DATOS'!$L$4:$L$123,0)),"")</f>
        <v/>
      </c>
      <c r="I51" s="4" t="str">
        <f>IFERROR(INDEX('ENTRADA DATOS'!$I$4:$I$123,MATCH(LARGE('ENTRADA DATOS'!$L$4:$L$123,48),'ENTRADA DATOS'!$L$4:$L$123,0)),"")</f>
        <v/>
      </c>
      <c r="J51" s="5" t="str">
        <f>IFERROR(INDEX('ENTRADA DATOS'!$J$4:$J$123,MATCH(LARGE('ENTRADA DATOS'!$L$4:$L$123,48),'ENTRADA DATOS'!$L$4:$L$123,0)),"")</f>
        <v/>
      </c>
      <c r="K51" s="5" t="str">
        <f>IFERROR(INDEX('ENTRADA DATOS'!$K$4:$K$123,MATCH(LARGE('ENTRADA DATOS'!$L$4:$L$123,48),'ENTRADA DATOS'!$L$4:$L$123,0)),"")</f>
        <v/>
      </c>
    </row>
    <row r="52" spans="1:11" x14ac:dyDescent="0.3">
      <c r="A52" s="2" t="str">
        <f>IF(I52="","",49)</f>
        <v/>
      </c>
      <c r="B52" s="3" t="str">
        <f>IFERROR(INDEX('ENTRADA DATOS'!$B$4:$B$123,MATCH(LARGE('ENTRADA DATOS'!$L$4:$L$123,49),'ENTRADA DATOS'!$L$4:$L$123,0)),"")</f>
        <v/>
      </c>
      <c r="C52" s="2" t="str">
        <f>IFERROR(INDEX('ENTRADA DATOS'!$C$4:$C$123,MATCH(LARGE('ENTRADA DATOS'!$L$4:$L$123,49),'ENTRADA DATOS'!$L$4:$L$123,0)),"")</f>
        <v/>
      </c>
      <c r="D52" s="2" t="str">
        <f>IFERROR(INDEX('ENTRADA DATOS'!$D$4:$D$123,MATCH(LARGE('ENTRADA DATOS'!$L$4:$L$123,49),'ENTRADA DATOS'!$L$4:$L$123,0)),"")</f>
        <v/>
      </c>
      <c r="E52" s="2" t="str">
        <f>IFERROR(INDEX('ENTRADA DATOS'!$E$4:$E$123,MATCH(LARGE('ENTRADA DATOS'!$L$4:$L$123,49),'ENTRADA DATOS'!$L$4:$L$123,0)),"")</f>
        <v/>
      </c>
      <c r="F52" s="2" t="str">
        <f>IFERROR(INDEX('ENTRADA DATOS'!$F$4:$F$123,MATCH(LARGE('ENTRADA DATOS'!$L$4:$L$123,49),'ENTRADA DATOS'!$L$4:$L$123,0)),"")</f>
        <v/>
      </c>
      <c r="G52" s="2" t="str">
        <f>IFERROR(INDEX('ENTRADA DATOS'!$G$4:$G$123,MATCH(LARGE('ENTRADA DATOS'!$L$4:$L$123,49),'ENTRADA DATOS'!$L$4:$L$123,0)),"")</f>
        <v/>
      </c>
      <c r="H52" s="2" t="str">
        <f>IFERROR(INDEX('ENTRADA DATOS'!$H$4:$H$123,MATCH(LARGE('ENTRADA DATOS'!$L$4:$L$123,49),'ENTRADA DATOS'!$L$4:$L$123,0)),"")</f>
        <v/>
      </c>
      <c r="I52" s="2" t="str">
        <f>IFERROR(INDEX('ENTRADA DATOS'!$I$4:$I$123,MATCH(LARGE('ENTRADA DATOS'!$L$4:$L$123,49),'ENTRADA DATOS'!$L$4:$L$123,0)),"")</f>
        <v/>
      </c>
      <c r="J52" s="3" t="str">
        <f>IFERROR(INDEX('ENTRADA DATOS'!$J$4:$J$123,MATCH(LARGE('ENTRADA DATOS'!$L$4:$L$123,49),'ENTRADA DATOS'!$L$4:$L$123,0)),"")</f>
        <v/>
      </c>
      <c r="K52" s="3" t="str">
        <f>IFERROR(INDEX('ENTRADA DATOS'!$K$4:$K$123,MATCH(LARGE('ENTRADA DATOS'!$L$4:$L$123,49),'ENTRADA DATOS'!$L$4:$L$123,0)),"")</f>
        <v/>
      </c>
    </row>
    <row r="53" spans="1:11" x14ac:dyDescent="0.3">
      <c r="A53" s="4" t="str">
        <f>IF(I53="","",50)</f>
        <v/>
      </c>
      <c r="B53" s="5" t="str">
        <f>IFERROR(INDEX('ENTRADA DATOS'!$B$4:$B$123,MATCH(LARGE('ENTRADA DATOS'!$L$4:$L$123,50),'ENTRADA DATOS'!$L$4:$L$123,0)),"")</f>
        <v/>
      </c>
      <c r="C53" s="4" t="str">
        <f>IFERROR(INDEX('ENTRADA DATOS'!$C$4:$C$123,MATCH(LARGE('ENTRADA DATOS'!$L$4:$L$123,50),'ENTRADA DATOS'!$L$4:$L$123,0)),"")</f>
        <v/>
      </c>
      <c r="D53" s="4" t="str">
        <f>IFERROR(INDEX('ENTRADA DATOS'!$D$4:$D$123,MATCH(LARGE('ENTRADA DATOS'!$L$4:$L$123,50),'ENTRADA DATOS'!$L$4:$L$123,0)),"")</f>
        <v/>
      </c>
      <c r="E53" s="4" t="str">
        <f>IFERROR(INDEX('ENTRADA DATOS'!$E$4:$E$123,MATCH(LARGE('ENTRADA DATOS'!$L$4:$L$123,50),'ENTRADA DATOS'!$L$4:$L$123,0)),"")</f>
        <v/>
      </c>
      <c r="F53" s="4" t="str">
        <f>IFERROR(INDEX('ENTRADA DATOS'!$F$4:$F$123,MATCH(LARGE('ENTRADA DATOS'!$L$4:$L$123,50),'ENTRADA DATOS'!$L$4:$L$123,0)),"")</f>
        <v/>
      </c>
      <c r="G53" s="4" t="str">
        <f>IFERROR(INDEX('ENTRADA DATOS'!$G$4:$G$123,MATCH(LARGE('ENTRADA DATOS'!$L$4:$L$123,50),'ENTRADA DATOS'!$L$4:$L$123,0)),"")</f>
        <v/>
      </c>
      <c r="H53" s="4" t="str">
        <f>IFERROR(INDEX('ENTRADA DATOS'!$H$4:$H$123,MATCH(LARGE('ENTRADA DATOS'!$L$4:$L$123,50),'ENTRADA DATOS'!$L$4:$L$123,0)),"")</f>
        <v/>
      </c>
      <c r="I53" s="4" t="str">
        <f>IFERROR(INDEX('ENTRADA DATOS'!$I$4:$I$123,MATCH(LARGE('ENTRADA DATOS'!$L$4:$L$123,50),'ENTRADA DATOS'!$L$4:$L$123,0)),"")</f>
        <v/>
      </c>
      <c r="J53" s="5" t="str">
        <f>IFERROR(INDEX('ENTRADA DATOS'!$J$4:$J$123,MATCH(LARGE('ENTRADA DATOS'!$L$4:$L$123,50),'ENTRADA DATOS'!$L$4:$L$123,0)),"")</f>
        <v/>
      </c>
      <c r="K53" s="5" t="str">
        <f>IFERROR(INDEX('ENTRADA DATOS'!$K$4:$K$123,MATCH(LARGE('ENTRADA DATOS'!$L$4:$L$123,50),'ENTRADA DATOS'!$L$4:$L$123,0)),"")</f>
        <v/>
      </c>
    </row>
    <row r="54" spans="1:11" x14ac:dyDescent="0.3">
      <c r="A54" s="2" t="str">
        <f>IF(I54="","",51)</f>
        <v/>
      </c>
      <c r="B54" s="3" t="str">
        <f>IFERROR(INDEX('ENTRADA DATOS'!$B$4:$B$123,MATCH(LARGE('ENTRADA DATOS'!$L$4:$L$123,51),'ENTRADA DATOS'!$L$4:$L$123,0)),"")</f>
        <v/>
      </c>
      <c r="C54" s="2" t="str">
        <f>IFERROR(INDEX('ENTRADA DATOS'!$C$4:$C$123,MATCH(LARGE('ENTRADA DATOS'!$L$4:$L$123,51),'ENTRADA DATOS'!$L$4:$L$123,0)),"")</f>
        <v/>
      </c>
      <c r="D54" s="2" t="str">
        <f>IFERROR(INDEX('ENTRADA DATOS'!$D$4:$D$123,MATCH(LARGE('ENTRADA DATOS'!$L$4:$L$123,51),'ENTRADA DATOS'!$L$4:$L$123,0)),"")</f>
        <v/>
      </c>
      <c r="E54" s="2" t="str">
        <f>IFERROR(INDEX('ENTRADA DATOS'!$E$4:$E$123,MATCH(LARGE('ENTRADA DATOS'!$L$4:$L$123,51),'ENTRADA DATOS'!$L$4:$L$123,0)),"")</f>
        <v/>
      </c>
      <c r="F54" s="2" t="str">
        <f>IFERROR(INDEX('ENTRADA DATOS'!$F$4:$F$123,MATCH(LARGE('ENTRADA DATOS'!$L$4:$L$123,51),'ENTRADA DATOS'!$L$4:$L$123,0)),"")</f>
        <v/>
      </c>
      <c r="G54" s="2" t="str">
        <f>IFERROR(INDEX('ENTRADA DATOS'!$G$4:$G$123,MATCH(LARGE('ENTRADA DATOS'!$L$4:$L$123,51),'ENTRADA DATOS'!$L$4:$L$123,0)),"")</f>
        <v/>
      </c>
      <c r="H54" s="2" t="str">
        <f>IFERROR(INDEX('ENTRADA DATOS'!$H$4:$H$123,MATCH(LARGE('ENTRADA DATOS'!$L$4:$L$123,51),'ENTRADA DATOS'!$L$4:$L$123,0)),"")</f>
        <v/>
      </c>
      <c r="I54" s="2" t="str">
        <f>IFERROR(INDEX('ENTRADA DATOS'!$I$4:$I$123,MATCH(LARGE('ENTRADA DATOS'!$L$4:$L$123,51),'ENTRADA DATOS'!$L$4:$L$123,0)),"")</f>
        <v/>
      </c>
      <c r="J54" s="3" t="str">
        <f>IFERROR(INDEX('ENTRADA DATOS'!$J$4:$J$123,MATCH(LARGE('ENTRADA DATOS'!$L$4:$L$123,51),'ENTRADA DATOS'!$L$4:$L$123,0)),"")</f>
        <v/>
      </c>
      <c r="K54" s="3" t="str">
        <f>IFERROR(INDEX('ENTRADA DATOS'!$K$4:$K$123,MATCH(LARGE('ENTRADA DATOS'!$L$4:$L$123,51),'ENTRADA DATOS'!$L$4:$L$123,0)),"")</f>
        <v/>
      </c>
    </row>
    <row r="55" spans="1:11" x14ac:dyDescent="0.3">
      <c r="A55" s="4" t="str">
        <f>IF(I55="","",52)</f>
        <v/>
      </c>
      <c r="B55" s="5" t="str">
        <f>IFERROR(INDEX('ENTRADA DATOS'!$B$4:$B$123,MATCH(LARGE('ENTRADA DATOS'!$L$4:$L$123,52),'ENTRADA DATOS'!$L$4:$L$123,0)),"")</f>
        <v/>
      </c>
      <c r="C55" s="4" t="str">
        <f>IFERROR(INDEX('ENTRADA DATOS'!$C$4:$C$123,MATCH(LARGE('ENTRADA DATOS'!$L$4:$L$123,52),'ENTRADA DATOS'!$L$4:$L$123,0)),"")</f>
        <v/>
      </c>
      <c r="D55" s="4" t="str">
        <f>IFERROR(INDEX('ENTRADA DATOS'!$D$4:$D$123,MATCH(LARGE('ENTRADA DATOS'!$L$4:$L$123,52),'ENTRADA DATOS'!$L$4:$L$123,0)),"")</f>
        <v/>
      </c>
      <c r="E55" s="4" t="str">
        <f>IFERROR(INDEX('ENTRADA DATOS'!$E$4:$E$123,MATCH(LARGE('ENTRADA DATOS'!$L$4:$L$123,52),'ENTRADA DATOS'!$L$4:$L$123,0)),"")</f>
        <v/>
      </c>
      <c r="F55" s="4" t="str">
        <f>IFERROR(INDEX('ENTRADA DATOS'!$F$4:$F$123,MATCH(LARGE('ENTRADA DATOS'!$L$4:$L$123,52),'ENTRADA DATOS'!$L$4:$L$123,0)),"")</f>
        <v/>
      </c>
      <c r="G55" s="4" t="str">
        <f>IFERROR(INDEX('ENTRADA DATOS'!$G$4:$G$123,MATCH(LARGE('ENTRADA DATOS'!$L$4:$L$123,52),'ENTRADA DATOS'!$L$4:$L$123,0)),"")</f>
        <v/>
      </c>
      <c r="H55" s="4" t="str">
        <f>IFERROR(INDEX('ENTRADA DATOS'!$H$4:$H$123,MATCH(LARGE('ENTRADA DATOS'!$L$4:$L$123,52),'ENTRADA DATOS'!$L$4:$L$123,0)),"")</f>
        <v/>
      </c>
      <c r="I55" s="4" t="str">
        <f>IFERROR(INDEX('ENTRADA DATOS'!$I$4:$I$123,MATCH(LARGE('ENTRADA DATOS'!$L$4:$L$123,52),'ENTRADA DATOS'!$L$4:$L$123,0)),"")</f>
        <v/>
      </c>
      <c r="J55" s="5" t="str">
        <f>IFERROR(INDEX('ENTRADA DATOS'!$J$4:$J$123,MATCH(LARGE('ENTRADA DATOS'!$L$4:$L$123,52),'ENTRADA DATOS'!$L$4:$L$123,0)),"")</f>
        <v/>
      </c>
      <c r="K55" s="5" t="str">
        <f>IFERROR(INDEX('ENTRADA DATOS'!$K$4:$K$123,MATCH(LARGE('ENTRADA DATOS'!$L$4:$L$123,52),'ENTRADA DATOS'!$L$4:$L$123,0)),"")</f>
        <v/>
      </c>
    </row>
    <row r="56" spans="1:11" x14ac:dyDescent="0.3">
      <c r="A56" s="2" t="str">
        <f>IF(I56="","",53)</f>
        <v/>
      </c>
      <c r="B56" s="3" t="str">
        <f>IFERROR(INDEX('ENTRADA DATOS'!$B$4:$B$123,MATCH(LARGE('ENTRADA DATOS'!$L$4:$L$123,53),'ENTRADA DATOS'!$L$4:$L$123,0)),"")</f>
        <v/>
      </c>
      <c r="C56" s="2" t="str">
        <f>IFERROR(INDEX('ENTRADA DATOS'!$C$4:$C$123,MATCH(LARGE('ENTRADA DATOS'!$L$4:$L$123,53),'ENTRADA DATOS'!$L$4:$L$123,0)),"")</f>
        <v/>
      </c>
      <c r="D56" s="2" t="str">
        <f>IFERROR(INDEX('ENTRADA DATOS'!$D$4:$D$123,MATCH(LARGE('ENTRADA DATOS'!$L$4:$L$123,53),'ENTRADA DATOS'!$L$4:$L$123,0)),"")</f>
        <v/>
      </c>
      <c r="E56" s="2" t="str">
        <f>IFERROR(INDEX('ENTRADA DATOS'!$E$4:$E$123,MATCH(LARGE('ENTRADA DATOS'!$L$4:$L$123,53),'ENTRADA DATOS'!$L$4:$L$123,0)),"")</f>
        <v/>
      </c>
      <c r="F56" s="2" t="str">
        <f>IFERROR(INDEX('ENTRADA DATOS'!$F$4:$F$123,MATCH(LARGE('ENTRADA DATOS'!$L$4:$L$123,53),'ENTRADA DATOS'!$L$4:$L$123,0)),"")</f>
        <v/>
      </c>
      <c r="G56" s="2" t="str">
        <f>IFERROR(INDEX('ENTRADA DATOS'!$G$4:$G$123,MATCH(LARGE('ENTRADA DATOS'!$L$4:$L$123,53),'ENTRADA DATOS'!$L$4:$L$123,0)),"")</f>
        <v/>
      </c>
      <c r="H56" s="2" t="str">
        <f>IFERROR(INDEX('ENTRADA DATOS'!$H$4:$H$123,MATCH(LARGE('ENTRADA DATOS'!$L$4:$L$123,53),'ENTRADA DATOS'!$L$4:$L$123,0)),"")</f>
        <v/>
      </c>
      <c r="I56" s="2" t="str">
        <f>IFERROR(INDEX('ENTRADA DATOS'!$I$4:$I$123,MATCH(LARGE('ENTRADA DATOS'!$L$4:$L$123,53),'ENTRADA DATOS'!$L$4:$L$123,0)),"")</f>
        <v/>
      </c>
      <c r="J56" s="3" t="str">
        <f>IFERROR(INDEX('ENTRADA DATOS'!$J$4:$J$123,MATCH(LARGE('ENTRADA DATOS'!$L$4:$L$123,53),'ENTRADA DATOS'!$L$4:$L$123,0)),"")</f>
        <v/>
      </c>
      <c r="K56" s="3" t="str">
        <f>IFERROR(INDEX('ENTRADA DATOS'!$K$4:$K$123,MATCH(LARGE('ENTRADA DATOS'!$L$4:$L$123,53),'ENTRADA DATOS'!$L$4:$L$123,0)),"")</f>
        <v/>
      </c>
    </row>
    <row r="57" spans="1:11" x14ac:dyDescent="0.3">
      <c r="A57" s="4" t="str">
        <f>IF(I57="","",54)</f>
        <v/>
      </c>
      <c r="B57" s="5" t="str">
        <f>IFERROR(INDEX('ENTRADA DATOS'!$B$4:$B$123,MATCH(LARGE('ENTRADA DATOS'!$L$4:$L$123,54),'ENTRADA DATOS'!$L$4:$L$123,0)),"")</f>
        <v/>
      </c>
      <c r="C57" s="4" t="str">
        <f>IFERROR(INDEX('ENTRADA DATOS'!$C$4:$C$123,MATCH(LARGE('ENTRADA DATOS'!$L$4:$L$123,54),'ENTRADA DATOS'!$L$4:$L$123,0)),"")</f>
        <v/>
      </c>
      <c r="D57" s="4" t="str">
        <f>IFERROR(INDEX('ENTRADA DATOS'!$D$4:$D$123,MATCH(LARGE('ENTRADA DATOS'!$L$4:$L$123,54),'ENTRADA DATOS'!$L$4:$L$123,0)),"")</f>
        <v/>
      </c>
      <c r="E57" s="4" t="str">
        <f>IFERROR(INDEX('ENTRADA DATOS'!$E$4:$E$123,MATCH(LARGE('ENTRADA DATOS'!$L$4:$L$123,54),'ENTRADA DATOS'!$L$4:$L$123,0)),"")</f>
        <v/>
      </c>
      <c r="F57" s="4" t="str">
        <f>IFERROR(INDEX('ENTRADA DATOS'!$F$4:$F$123,MATCH(LARGE('ENTRADA DATOS'!$L$4:$L$123,54),'ENTRADA DATOS'!$L$4:$L$123,0)),"")</f>
        <v/>
      </c>
      <c r="G57" s="4" t="str">
        <f>IFERROR(INDEX('ENTRADA DATOS'!$G$4:$G$123,MATCH(LARGE('ENTRADA DATOS'!$L$4:$L$123,54),'ENTRADA DATOS'!$L$4:$L$123,0)),"")</f>
        <v/>
      </c>
      <c r="H57" s="4" t="str">
        <f>IFERROR(INDEX('ENTRADA DATOS'!$H$4:$H$123,MATCH(LARGE('ENTRADA DATOS'!$L$4:$L$123,54),'ENTRADA DATOS'!$L$4:$L$123,0)),"")</f>
        <v/>
      </c>
      <c r="I57" s="4" t="str">
        <f>IFERROR(INDEX('ENTRADA DATOS'!$I$4:$I$123,MATCH(LARGE('ENTRADA DATOS'!$L$4:$L$123,54),'ENTRADA DATOS'!$L$4:$L$123,0)),"")</f>
        <v/>
      </c>
      <c r="J57" s="5" t="str">
        <f>IFERROR(INDEX('ENTRADA DATOS'!$J$4:$J$123,MATCH(LARGE('ENTRADA DATOS'!$L$4:$L$123,54),'ENTRADA DATOS'!$L$4:$L$123,0)),"")</f>
        <v/>
      </c>
      <c r="K57" s="5" t="str">
        <f>IFERROR(INDEX('ENTRADA DATOS'!$K$4:$K$123,MATCH(LARGE('ENTRADA DATOS'!$L$4:$L$123,54),'ENTRADA DATOS'!$L$4:$L$123,0)),"")</f>
        <v/>
      </c>
    </row>
    <row r="58" spans="1:11" x14ac:dyDescent="0.3">
      <c r="A58" s="2" t="str">
        <f>IF(I58="","",55)</f>
        <v/>
      </c>
      <c r="B58" s="3" t="str">
        <f>IFERROR(INDEX('ENTRADA DATOS'!$B$4:$B$123,MATCH(LARGE('ENTRADA DATOS'!$L$4:$L$123,55),'ENTRADA DATOS'!$L$4:$L$123,0)),"")</f>
        <v/>
      </c>
      <c r="C58" s="2" t="str">
        <f>IFERROR(INDEX('ENTRADA DATOS'!$C$4:$C$123,MATCH(LARGE('ENTRADA DATOS'!$L$4:$L$123,55),'ENTRADA DATOS'!$L$4:$L$123,0)),"")</f>
        <v/>
      </c>
      <c r="D58" s="2" t="str">
        <f>IFERROR(INDEX('ENTRADA DATOS'!$D$4:$D$123,MATCH(LARGE('ENTRADA DATOS'!$L$4:$L$123,55),'ENTRADA DATOS'!$L$4:$L$123,0)),"")</f>
        <v/>
      </c>
      <c r="E58" s="2" t="str">
        <f>IFERROR(INDEX('ENTRADA DATOS'!$E$4:$E$123,MATCH(LARGE('ENTRADA DATOS'!$L$4:$L$123,55),'ENTRADA DATOS'!$L$4:$L$123,0)),"")</f>
        <v/>
      </c>
      <c r="F58" s="2" t="str">
        <f>IFERROR(INDEX('ENTRADA DATOS'!$F$4:$F$123,MATCH(LARGE('ENTRADA DATOS'!$L$4:$L$123,55),'ENTRADA DATOS'!$L$4:$L$123,0)),"")</f>
        <v/>
      </c>
      <c r="G58" s="2" t="str">
        <f>IFERROR(INDEX('ENTRADA DATOS'!$G$4:$G$123,MATCH(LARGE('ENTRADA DATOS'!$L$4:$L$123,55),'ENTRADA DATOS'!$L$4:$L$123,0)),"")</f>
        <v/>
      </c>
      <c r="H58" s="2" t="str">
        <f>IFERROR(INDEX('ENTRADA DATOS'!$H$4:$H$123,MATCH(LARGE('ENTRADA DATOS'!$L$4:$L$123,55),'ENTRADA DATOS'!$L$4:$L$123,0)),"")</f>
        <v/>
      </c>
      <c r="I58" s="2" t="str">
        <f>IFERROR(INDEX('ENTRADA DATOS'!$I$4:$I$123,MATCH(LARGE('ENTRADA DATOS'!$L$4:$L$123,55),'ENTRADA DATOS'!$L$4:$L$123,0)),"")</f>
        <v/>
      </c>
      <c r="J58" s="3" t="str">
        <f>IFERROR(INDEX('ENTRADA DATOS'!$J$4:$J$123,MATCH(LARGE('ENTRADA DATOS'!$L$4:$L$123,55),'ENTRADA DATOS'!$L$4:$L$123,0)),"")</f>
        <v/>
      </c>
      <c r="K58" s="3" t="str">
        <f>IFERROR(INDEX('ENTRADA DATOS'!$K$4:$K$123,MATCH(LARGE('ENTRADA DATOS'!$L$4:$L$123,55),'ENTRADA DATOS'!$L$4:$L$123,0)),"")</f>
        <v/>
      </c>
    </row>
    <row r="59" spans="1:11" x14ac:dyDescent="0.3">
      <c r="A59" s="4" t="str">
        <f>IF(I59="","",56)</f>
        <v/>
      </c>
      <c r="B59" s="5" t="str">
        <f>IFERROR(INDEX('ENTRADA DATOS'!$B$4:$B$123,MATCH(LARGE('ENTRADA DATOS'!$L$4:$L$123,56),'ENTRADA DATOS'!$L$4:$L$123,0)),"")</f>
        <v/>
      </c>
      <c r="C59" s="4" t="str">
        <f>IFERROR(INDEX('ENTRADA DATOS'!$C$4:$C$123,MATCH(LARGE('ENTRADA DATOS'!$L$4:$L$123,56),'ENTRADA DATOS'!$L$4:$L$123,0)),"")</f>
        <v/>
      </c>
      <c r="D59" s="4" t="str">
        <f>IFERROR(INDEX('ENTRADA DATOS'!$D$4:$D$123,MATCH(LARGE('ENTRADA DATOS'!$L$4:$L$123,56),'ENTRADA DATOS'!$L$4:$L$123,0)),"")</f>
        <v/>
      </c>
      <c r="E59" s="4" t="str">
        <f>IFERROR(INDEX('ENTRADA DATOS'!$E$4:$E$123,MATCH(LARGE('ENTRADA DATOS'!$L$4:$L$123,56),'ENTRADA DATOS'!$L$4:$L$123,0)),"")</f>
        <v/>
      </c>
      <c r="F59" s="4" t="str">
        <f>IFERROR(INDEX('ENTRADA DATOS'!$F$4:$F$123,MATCH(LARGE('ENTRADA DATOS'!$L$4:$L$123,56),'ENTRADA DATOS'!$L$4:$L$123,0)),"")</f>
        <v/>
      </c>
      <c r="G59" s="4" t="str">
        <f>IFERROR(INDEX('ENTRADA DATOS'!$G$4:$G$123,MATCH(LARGE('ENTRADA DATOS'!$L$4:$L$123,56),'ENTRADA DATOS'!$L$4:$L$123,0)),"")</f>
        <v/>
      </c>
      <c r="H59" s="4" t="str">
        <f>IFERROR(INDEX('ENTRADA DATOS'!$H$4:$H$123,MATCH(LARGE('ENTRADA DATOS'!$L$4:$L$123,56),'ENTRADA DATOS'!$L$4:$L$123,0)),"")</f>
        <v/>
      </c>
      <c r="I59" s="4" t="str">
        <f>IFERROR(INDEX('ENTRADA DATOS'!$I$4:$I$123,MATCH(LARGE('ENTRADA DATOS'!$L$4:$L$123,56),'ENTRADA DATOS'!$L$4:$L$123,0)),"")</f>
        <v/>
      </c>
      <c r="J59" s="5" t="str">
        <f>IFERROR(INDEX('ENTRADA DATOS'!$J$4:$J$123,MATCH(LARGE('ENTRADA DATOS'!$L$4:$L$123,56),'ENTRADA DATOS'!$L$4:$L$123,0)),"")</f>
        <v/>
      </c>
      <c r="K59" s="5" t="str">
        <f>IFERROR(INDEX('ENTRADA DATOS'!$K$4:$K$123,MATCH(LARGE('ENTRADA DATOS'!$L$4:$L$123,56),'ENTRADA DATOS'!$L$4:$L$123,0)),"")</f>
        <v/>
      </c>
    </row>
    <row r="60" spans="1:11" x14ac:dyDescent="0.3">
      <c r="A60" s="2" t="str">
        <f>IF(I60="","",57)</f>
        <v/>
      </c>
      <c r="B60" s="3" t="str">
        <f>IFERROR(INDEX('ENTRADA DATOS'!$B$4:$B$123,MATCH(LARGE('ENTRADA DATOS'!$L$4:$L$123,57),'ENTRADA DATOS'!$L$4:$L$123,0)),"")</f>
        <v/>
      </c>
      <c r="C60" s="2" t="str">
        <f>IFERROR(INDEX('ENTRADA DATOS'!$C$4:$C$123,MATCH(LARGE('ENTRADA DATOS'!$L$4:$L$123,57),'ENTRADA DATOS'!$L$4:$L$123,0)),"")</f>
        <v/>
      </c>
      <c r="D60" s="2" t="str">
        <f>IFERROR(INDEX('ENTRADA DATOS'!$D$4:$D$123,MATCH(LARGE('ENTRADA DATOS'!$L$4:$L$123,57),'ENTRADA DATOS'!$L$4:$L$123,0)),"")</f>
        <v/>
      </c>
      <c r="E60" s="2" t="str">
        <f>IFERROR(INDEX('ENTRADA DATOS'!$E$4:$E$123,MATCH(LARGE('ENTRADA DATOS'!$L$4:$L$123,57),'ENTRADA DATOS'!$L$4:$L$123,0)),"")</f>
        <v/>
      </c>
      <c r="F60" s="2" t="str">
        <f>IFERROR(INDEX('ENTRADA DATOS'!$F$4:$F$123,MATCH(LARGE('ENTRADA DATOS'!$L$4:$L$123,57),'ENTRADA DATOS'!$L$4:$L$123,0)),"")</f>
        <v/>
      </c>
      <c r="G60" s="2" t="str">
        <f>IFERROR(INDEX('ENTRADA DATOS'!$G$4:$G$123,MATCH(LARGE('ENTRADA DATOS'!$L$4:$L$123,57),'ENTRADA DATOS'!$L$4:$L$123,0)),"")</f>
        <v/>
      </c>
      <c r="H60" s="2" t="str">
        <f>IFERROR(INDEX('ENTRADA DATOS'!$H$4:$H$123,MATCH(LARGE('ENTRADA DATOS'!$L$4:$L$123,57),'ENTRADA DATOS'!$L$4:$L$123,0)),"")</f>
        <v/>
      </c>
      <c r="I60" s="2" t="str">
        <f>IFERROR(INDEX('ENTRADA DATOS'!$I$4:$I$123,MATCH(LARGE('ENTRADA DATOS'!$L$4:$L$123,57),'ENTRADA DATOS'!$L$4:$L$123,0)),"")</f>
        <v/>
      </c>
      <c r="J60" s="3" t="str">
        <f>IFERROR(INDEX('ENTRADA DATOS'!$J$4:$J$123,MATCH(LARGE('ENTRADA DATOS'!$L$4:$L$123,57),'ENTRADA DATOS'!$L$4:$L$123,0)),"")</f>
        <v/>
      </c>
      <c r="K60" s="3" t="str">
        <f>IFERROR(INDEX('ENTRADA DATOS'!$K$4:$K$123,MATCH(LARGE('ENTRADA DATOS'!$L$4:$L$123,57),'ENTRADA DATOS'!$L$4:$L$123,0)),"")</f>
        <v/>
      </c>
    </row>
    <row r="61" spans="1:11" x14ac:dyDescent="0.3">
      <c r="A61" s="4" t="str">
        <f>IF(I61="","",58)</f>
        <v/>
      </c>
      <c r="B61" s="5" t="str">
        <f>IFERROR(INDEX('ENTRADA DATOS'!$B$4:$B$123,MATCH(LARGE('ENTRADA DATOS'!$L$4:$L$123,58),'ENTRADA DATOS'!$L$4:$L$123,0)),"")</f>
        <v/>
      </c>
      <c r="C61" s="4" t="str">
        <f>IFERROR(INDEX('ENTRADA DATOS'!$C$4:$C$123,MATCH(LARGE('ENTRADA DATOS'!$L$4:$L$123,58),'ENTRADA DATOS'!$L$4:$L$123,0)),"")</f>
        <v/>
      </c>
      <c r="D61" s="4" t="str">
        <f>IFERROR(INDEX('ENTRADA DATOS'!$D$4:$D$123,MATCH(LARGE('ENTRADA DATOS'!$L$4:$L$123,58),'ENTRADA DATOS'!$L$4:$L$123,0)),"")</f>
        <v/>
      </c>
      <c r="E61" s="4" t="str">
        <f>IFERROR(INDEX('ENTRADA DATOS'!$E$4:$E$123,MATCH(LARGE('ENTRADA DATOS'!$L$4:$L$123,58),'ENTRADA DATOS'!$L$4:$L$123,0)),"")</f>
        <v/>
      </c>
      <c r="F61" s="4" t="str">
        <f>IFERROR(INDEX('ENTRADA DATOS'!$F$4:$F$123,MATCH(LARGE('ENTRADA DATOS'!$L$4:$L$123,58),'ENTRADA DATOS'!$L$4:$L$123,0)),"")</f>
        <v/>
      </c>
      <c r="G61" s="4" t="str">
        <f>IFERROR(INDEX('ENTRADA DATOS'!$G$4:$G$123,MATCH(LARGE('ENTRADA DATOS'!$L$4:$L$123,58),'ENTRADA DATOS'!$L$4:$L$123,0)),"")</f>
        <v/>
      </c>
      <c r="H61" s="4" t="str">
        <f>IFERROR(INDEX('ENTRADA DATOS'!$H$4:$H$123,MATCH(LARGE('ENTRADA DATOS'!$L$4:$L$123,58),'ENTRADA DATOS'!$L$4:$L$123,0)),"")</f>
        <v/>
      </c>
      <c r="I61" s="4" t="str">
        <f>IFERROR(INDEX('ENTRADA DATOS'!$I$4:$I$123,MATCH(LARGE('ENTRADA DATOS'!$L$4:$L$123,58),'ENTRADA DATOS'!$L$4:$L$123,0)),"")</f>
        <v/>
      </c>
      <c r="J61" s="5" t="str">
        <f>IFERROR(INDEX('ENTRADA DATOS'!$J$4:$J$123,MATCH(LARGE('ENTRADA DATOS'!$L$4:$L$123,58),'ENTRADA DATOS'!$L$4:$L$123,0)),"")</f>
        <v/>
      </c>
      <c r="K61" s="5" t="str">
        <f>IFERROR(INDEX('ENTRADA DATOS'!$K$4:$K$123,MATCH(LARGE('ENTRADA DATOS'!$L$4:$L$123,58),'ENTRADA DATOS'!$L$4:$L$123,0)),"")</f>
        <v/>
      </c>
    </row>
    <row r="62" spans="1:11" x14ac:dyDescent="0.3">
      <c r="A62" s="2" t="str">
        <f>IF(I62="","",59)</f>
        <v/>
      </c>
      <c r="B62" s="3" t="str">
        <f>IFERROR(INDEX('ENTRADA DATOS'!$B$4:$B$123,MATCH(LARGE('ENTRADA DATOS'!$L$4:$L$123,59),'ENTRADA DATOS'!$L$4:$L$123,0)),"")</f>
        <v/>
      </c>
      <c r="C62" s="2" t="str">
        <f>IFERROR(INDEX('ENTRADA DATOS'!$C$4:$C$123,MATCH(LARGE('ENTRADA DATOS'!$L$4:$L$123,59),'ENTRADA DATOS'!$L$4:$L$123,0)),"")</f>
        <v/>
      </c>
      <c r="D62" s="2" t="str">
        <f>IFERROR(INDEX('ENTRADA DATOS'!$D$4:$D$123,MATCH(LARGE('ENTRADA DATOS'!$L$4:$L$123,59),'ENTRADA DATOS'!$L$4:$L$123,0)),"")</f>
        <v/>
      </c>
      <c r="E62" s="2" t="str">
        <f>IFERROR(INDEX('ENTRADA DATOS'!$E$4:$E$123,MATCH(LARGE('ENTRADA DATOS'!$L$4:$L$123,59),'ENTRADA DATOS'!$L$4:$L$123,0)),"")</f>
        <v/>
      </c>
      <c r="F62" s="2" t="str">
        <f>IFERROR(INDEX('ENTRADA DATOS'!$F$4:$F$123,MATCH(LARGE('ENTRADA DATOS'!$L$4:$L$123,59),'ENTRADA DATOS'!$L$4:$L$123,0)),"")</f>
        <v/>
      </c>
      <c r="G62" s="2" t="str">
        <f>IFERROR(INDEX('ENTRADA DATOS'!$G$4:$G$123,MATCH(LARGE('ENTRADA DATOS'!$L$4:$L$123,59),'ENTRADA DATOS'!$L$4:$L$123,0)),"")</f>
        <v/>
      </c>
      <c r="H62" s="2" t="str">
        <f>IFERROR(INDEX('ENTRADA DATOS'!$H$4:$H$123,MATCH(LARGE('ENTRADA DATOS'!$L$4:$L$123,59),'ENTRADA DATOS'!$L$4:$L$123,0)),"")</f>
        <v/>
      </c>
      <c r="I62" s="2" t="str">
        <f>IFERROR(INDEX('ENTRADA DATOS'!$I$4:$I$123,MATCH(LARGE('ENTRADA DATOS'!$L$4:$L$123,59),'ENTRADA DATOS'!$L$4:$L$123,0)),"")</f>
        <v/>
      </c>
      <c r="J62" s="3" t="str">
        <f>IFERROR(INDEX('ENTRADA DATOS'!$J$4:$J$123,MATCH(LARGE('ENTRADA DATOS'!$L$4:$L$123,59),'ENTRADA DATOS'!$L$4:$L$123,0)),"")</f>
        <v/>
      </c>
      <c r="K62" s="3" t="str">
        <f>IFERROR(INDEX('ENTRADA DATOS'!$K$4:$K$123,MATCH(LARGE('ENTRADA DATOS'!$L$4:$L$123,59),'ENTRADA DATOS'!$L$4:$L$123,0)),"")</f>
        <v/>
      </c>
    </row>
    <row r="63" spans="1:11" x14ac:dyDescent="0.3">
      <c r="A63" s="4" t="str">
        <f>IF(I63="","",60)</f>
        <v/>
      </c>
      <c r="B63" s="5" t="str">
        <f>IFERROR(INDEX('ENTRADA DATOS'!$B$4:$B$123,MATCH(LARGE('ENTRADA DATOS'!$L$4:$L$123,60),'ENTRADA DATOS'!$L$4:$L$123,0)),"")</f>
        <v/>
      </c>
      <c r="C63" s="4" t="str">
        <f>IFERROR(INDEX('ENTRADA DATOS'!$C$4:$C$123,MATCH(LARGE('ENTRADA DATOS'!$L$4:$L$123,60),'ENTRADA DATOS'!$L$4:$L$123,0)),"")</f>
        <v/>
      </c>
      <c r="D63" s="4" t="str">
        <f>IFERROR(INDEX('ENTRADA DATOS'!$D$4:$D$123,MATCH(LARGE('ENTRADA DATOS'!$L$4:$L$123,60),'ENTRADA DATOS'!$L$4:$L$123,0)),"")</f>
        <v/>
      </c>
      <c r="E63" s="4" t="str">
        <f>IFERROR(INDEX('ENTRADA DATOS'!$E$4:$E$123,MATCH(LARGE('ENTRADA DATOS'!$L$4:$L$123,60),'ENTRADA DATOS'!$L$4:$L$123,0)),"")</f>
        <v/>
      </c>
      <c r="F63" s="4" t="str">
        <f>IFERROR(INDEX('ENTRADA DATOS'!$F$4:$F$123,MATCH(LARGE('ENTRADA DATOS'!$L$4:$L$123,60),'ENTRADA DATOS'!$L$4:$L$123,0)),"")</f>
        <v/>
      </c>
      <c r="G63" s="4" t="str">
        <f>IFERROR(INDEX('ENTRADA DATOS'!$G$4:$G$123,MATCH(LARGE('ENTRADA DATOS'!$L$4:$L$123,60),'ENTRADA DATOS'!$L$4:$L$123,0)),"")</f>
        <v/>
      </c>
      <c r="H63" s="4" t="str">
        <f>IFERROR(INDEX('ENTRADA DATOS'!$H$4:$H$123,MATCH(LARGE('ENTRADA DATOS'!$L$4:$L$123,60),'ENTRADA DATOS'!$L$4:$L$123,0)),"")</f>
        <v/>
      </c>
      <c r="I63" s="4" t="str">
        <f>IFERROR(INDEX('ENTRADA DATOS'!$I$4:$I$123,MATCH(LARGE('ENTRADA DATOS'!$L$4:$L$123,60),'ENTRADA DATOS'!$L$4:$L$123,0)),"")</f>
        <v/>
      </c>
      <c r="J63" s="5" t="str">
        <f>IFERROR(INDEX('ENTRADA DATOS'!$J$4:$J$123,MATCH(LARGE('ENTRADA DATOS'!$L$4:$L$123,60),'ENTRADA DATOS'!$L$4:$L$123,0)),"")</f>
        <v/>
      </c>
      <c r="K63" s="5" t="str">
        <f>IFERROR(INDEX('ENTRADA DATOS'!$K$4:$K$123,MATCH(LARGE('ENTRADA DATOS'!$L$4:$L$123,60),'ENTRADA DATOS'!$L$4:$L$123,0)),"")</f>
        <v/>
      </c>
    </row>
    <row r="64" spans="1:11" x14ac:dyDescent="0.3">
      <c r="A64" s="2" t="str">
        <f>IF(I64="","",61)</f>
        <v/>
      </c>
      <c r="B64" s="3" t="str">
        <f>IFERROR(INDEX('ENTRADA DATOS'!$B$4:$B$123,MATCH(LARGE('ENTRADA DATOS'!$L$4:$L$123,61),'ENTRADA DATOS'!$L$4:$L$123,0)),"")</f>
        <v/>
      </c>
      <c r="C64" s="2" t="str">
        <f>IFERROR(INDEX('ENTRADA DATOS'!$C$4:$C$123,MATCH(LARGE('ENTRADA DATOS'!$L$4:$L$123,61),'ENTRADA DATOS'!$L$4:$L$123,0)),"")</f>
        <v/>
      </c>
      <c r="D64" s="2" t="str">
        <f>IFERROR(INDEX('ENTRADA DATOS'!$D$4:$D$123,MATCH(LARGE('ENTRADA DATOS'!$L$4:$L$123,61),'ENTRADA DATOS'!$L$4:$L$123,0)),"")</f>
        <v/>
      </c>
      <c r="E64" s="2" t="str">
        <f>IFERROR(INDEX('ENTRADA DATOS'!$E$4:$E$123,MATCH(LARGE('ENTRADA DATOS'!$L$4:$L$123,61),'ENTRADA DATOS'!$L$4:$L$123,0)),"")</f>
        <v/>
      </c>
      <c r="F64" s="2" t="str">
        <f>IFERROR(INDEX('ENTRADA DATOS'!$F$4:$F$123,MATCH(LARGE('ENTRADA DATOS'!$L$4:$L$123,61),'ENTRADA DATOS'!$L$4:$L$123,0)),"")</f>
        <v/>
      </c>
      <c r="G64" s="2" t="str">
        <f>IFERROR(INDEX('ENTRADA DATOS'!$G$4:$G$123,MATCH(LARGE('ENTRADA DATOS'!$L$4:$L$123,61),'ENTRADA DATOS'!$L$4:$L$123,0)),"")</f>
        <v/>
      </c>
      <c r="H64" s="2" t="str">
        <f>IFERROR(INDEX('ENTRADA DATOS'!$H$4:$H$123,MATCH(LARGE('ENTRADA DATOS'!$L$4:$L$123,61),'ENTRADA DATOS'!$L$4:$L$123,0)),"")</f>
        <v/>
      </c>
      <c r="I64" s="2" t="str">
        <f>IFERROR(INDEX('ENTRADA DATOS'!$I$4:$I$123,MATCH(LARGE('ENTRADA DATOS'!$L$4:$L$123,61),'ENTRADA DATOS'!$L$4:$L$123,0)),"")</f>
        <v/>
      </c>
      <c r="J64" s="3" t="str">
        <f>IFERROR(INDEX('ENTRADA DATOS'!$J$4:$J$123,MATCH(LARGE('ENTRADA DATOS'!$L$4:$L$123,61),'ENTRADA DATOS'!$L$4:$L$123,0)),"")</f>
        <v/>
      </c>
      <c r="K64" s="3" t="str">
        <f>IFERROR(INDEX('ENTRADA DATOS'!$K$4:$K$123,MATCH(LARGE('ENTRADA DATOS'!$L$4:$L$123,61),'ENTRADA DATOS'!$L$4:$L$123,0)),"")</f>
        <v/>
      </c>
    </row>
    <row r="65" spans="1:11" x14ac:dyDescent="0.3">
      <c r="A65" s="4" t="str">
        <f>IF(I65="","",62)</f>
        <v/>
      </c>
      <c r="B65" s="5" t="str">
        <f>IFERROR(INDEX('ENTRADA DATOS'!$B$4:$B$123,MATCH(LARGE('ENTRADA DATOS'!$L$4:$L$123,62),'ENTRADA DATOS'!$L$4:$L$123,0)),"")</f>
        <v/>
      </c>
      <c r="C65" s="4" t="str">
        <f>IFERROR(INDEX('ENTRADA DATOS'!$C$4:$C$123,MATCH(LARGE('ENTRADA DATOS'!$L$4:$L$123,62),'ENTRADA DATOS'!$L$4:$L$123,0)),"")</f>
        <v/>
      </c>
      <c r="D65" s="4" t="str">
        <f>IFERROR(INDEX('ENTRADA DATOS'!$D$4:$D$123,MATCH(LARGE('ENTRADA DATOS'!$L$4:$L$123,62),'ENTRADA DATOS'!$L$4:$L$123,0)),"")</f>
        <v/>
      </c>
      <c r="E65" s="4" t="str">
        <f>IFERROR(INDEX('ENTRADA DATOS'!$E$4:$E$123,MATCH(LARGE('ENTRADA DATOS'!$L$4:$L$123,62),'ENTRADA DATOS'!$L$4:$L$123,0)),"")</f>
        <v/>
      </c>
      <c r="F65" s="4" t="str">
        <f>IFERROR(INDEX('ENTRADA DATOS'!$F$4:$F$123,MATCH(LARGE('ENTRADA DATOS'!$L$4:$L$123,62),'ENTRADA DATOS'!$L$4:$L$123,0)),"")</f>
        <v/>
      </c>
      <c r="G65" s="4" t="str">
        <f>IFERROR(INDEX('ENTRADA DATOS'!$G$4:$G$123,MATCH(LARGE('ENTRADA DATOS'!$L$4:$L$123,62),'ENTRADA DATOS'!$L$4:$L$123,0)),"")</f>
        <v/>
      </c>
      <c r="H65" s="4" t="str">
        <f>IFERROR(INDEX('ENTRADA DATOS'!$H$4:$H$123,MATCH(LARGE('ENTRADA DATOS'!$L$4:$L$123,62),'ENTRADA DATOS'!$L$4:$L$123,0)),"")</f>
        <v/>
      </c>
      <c r="I65" s="4" t="str">
        <f>IFERROR(INDEX('ENTRADA DATOS'!$I$4:$I$123,MATCH(LARGE('ENTRADA DATOS'!$L$4:$L$123,62),'ENTRADA DATOS'!$L$4:$L$123,0)),"")</f>
        <v/>
      </c>
      <c r="J65" s="5" t="str">
        <f>IFERROR(INDEX('ENTRADA DATOS'!$J$4:$J$123,MATCH(LARGE('ENTRADA DATOS'!$L$4:$L$123,62),'ENTRADA DATOS'!$L$4:$L$123,0)),"")</f>
        <v/>
      </c>
      <c r="K65" s="5" t="str">
        <f>IFERROR(INDEX('ENTRADA DATOS'!$K$4:$K$123,MATCH(LARGE('ENTRADA DATOS'!$L$4:$L$123,62),'ENTRADA DATOS'!$L$4:$L$123,0)),"")</f>
        <v/>
      </c>
    </row>
    <row r="66" spans="1:11" x14ac:dyDescent="0.3">
      <c r="A66" s="2" t="str">
        <f>IF(I66="","",63)</f>
        <v/>
      </c>
      <c r="B66" s="3" t="str">
        <f>IFERROR(INDEX('ENTRADA DATOS'!$B$4:$B$123,MATCH(LARGE('ENTRADA DATOS'!$L$4:$L$123,63),'ENTRADA DATOS'!$L$4:$L$123,0)),"")</f>
        <v/>
      </c>
      <c r="C66" s="2" t="str">
        <f>IFERROR(INDEX('ENTRADA DATOS'!$C$4:$C$123,MATCH(LARGE('ENTRADA DATOS'!$L$4:$L$123,63),'ENTRADA DATOS'!$L$4:$L$123,0)),"")</f>
        <v/>
      </c>
      <c r="D66" s="2" t="str">
        <f>IFERROR(INDEX('ENTRADA DATOS'!$D$4:$D$123,MATCH(LARGE('ENTRADA DATOS'!$L$4:$L$123,63),'ENTRADA DATOS'!$L$4:$L$123,0)),"")</f>
        <v/>
      </c>
      <c r="E66" s="2" t="str">
        <f>IFERROR(INDEX('ENTRADA DATOS'!$E$4:$E$123,MATCH(LARGE('ENTRADA DATOS'!$L$4:$L$123,63),'ENTRADA DATOS'!$L$4:$L$123,0)),"")</f>
        <v/>
      </c>
      <c r="F66" s="2" t="str">
        <f>IFERROR(INDEX('ENTRADA DATOS'!$F$4:$F$123,MATCH(LARGE('ENTRADA DATOS'!$L$4:$L$123,63),'ENTRADA DATOS'!$L$4:$L$123,0)),"")</f>
        <v/>
      </c>
      <c r="G66" s="2" t="str">
        <f>IFERROR(INDEX('ENTRADA DATOS'!$G$4:$G$123,MATCH(LARGE('ENTRADA DATOS'!$L$4:$L$123,63),'ENTRADA DATOS'!$L$4:$L$123,0)),"")</f>
        <v/>
      </c>
      <c r="H66" s="2" t="str">
        <f>IFERROR(INDEX('ENTRADA DATOS'!$H$4:$H$123,MATCH(LARGE('ENTRADA DATOS'!$L$4:$L$123,63),'ENTRADA DATOS'!$L$4:$L$123,0)),"")</f>
        <v/>
      </c>
      <c r="I66" s="2" t="str">
        <f>IFERROR(INDEX('ENTRADA DATOS'!$I$4:$I$123,MATCH(LARGE('ENTRADA DATOS'!$L$4:$L$123,63),'ENTRADA DATOS'!$L$4:$L$123,0)),"")</f>
        <v/>
      </c>
      <c r="J66" s="3" t="str">
        <f>IFERROR(INDEX('ENTRADA DATOS'!$J$4:$J$123,MATCH(LARGE('ENTRADA DATOS'!$L$4:$L$123,63),'ENTRADA DATOS'!$L$4:$L$123,0)),"")</f>
        <v/>
      </c>
      <c r="K66" s="3" t="str">
        <f>IFERROR(INDEX('ENTRADA DATOS'!$K$4:$K$123,MATCH(LARGE('ENTRADA DATOS'!$L$4:$L$123,63),'ENTRADA DATOS'!$L$4:$L$123,0)),"")</f>
        <v/>
      </c>
    </row>
    <row r="67" spans="1:11" x14ac:dyDescent="0.3">
      <c r="A67" s="4" t="str">
        <f>IF(I67="","",64)</f>
        <v/>
      </c>
      <c r="B67" s="5" t="str">
        <f>IFERROR(INDEX('ENTRADA DATOS'!$B$4:$B$123,MATCH(LARGE('ENTRADA DATOS'!$L$4:$L$123,64),'ENTRADA DATOS'!$L$4:$L$123,0)),"")</f>
        <v/>
      </c>
      <c r="C67" s="4" t="str">
        <f>IFERROR(INDEX('ENTRADA DATOS'!$C$4:$C$123,MATCH(LARGE('ENTRADA DATOS'!$L$4:$L$123,64),'ENTRADA DATOS'!$L$4:$L$123,0)),"")</f>
        <v/>
      </c>
      <c r="D67" s="4" t="str">
        <f>IFERROR(INDEX('ENTRADA DATOS'!$D$4:$D$123,MATCH(LARGE('ENTRADA DATOS'!$L$4:$L$123,64),'ENTRADA DATOS'!$L$4:$L$123,0)),"")</f>
        <v/>
      </c>
      <c r="E67" s="4" t="str">
        <f>IFERROR(INDEX('ENTRADA DATOS'!$E$4:$E$123,MATCH(LARGE('ENTRADA DATOS'!$L$4:$L$123,64),'ENTRADA DATOS'!$L$4:$L$123,0)),"")</f>
        <v/>
      </c>
      <c r="F67" s="4" t="str">
        <f>IFERROR(INDEX('ENTRADA DATOS'!$F$4:$F$123,MATCH(LARGE('ENTRADA DATOS'!$L$4:$L$123,64),'ENTRADA DATOS'!$L$4:$L$123,0)),"")</f>
        <v/>
      </c>
      <c r="G67" s="4" t="str">
        <f>IFERROR(INDEX('ENTRADA DATOS'!$G$4:$G$123,MATCH(LARGE('ENTRADA DATOS'!$L$4:$L$123,64),'ENTRADA DATOS'!$L$4:$L$123,0)),"")</f>
        <v/>
      </c>
      <c r="H67" s="4" t="str">
        <f>IFERROR(INDEX('ENTRADA DATOS'!$H$4:$H$123,MATCH(LARGE('ENTRADA DATOS'!$L$4:$L$123,64),'ENTRADA DATOS'!$L$4:$L$123,0)),"")</f>
        <v/>
      </c>
      <c r="I67" s="4" t="str">
        <f>IFERROR(INDEX('ENTRADA DATOS'!$I$4:$I$123,MATCH(LARGE('ENTRADA DATOS'!$L$4:$L$123,64),'ENTRADA DATOS'!$L$4:$L$123,0)),"")</f>
        <v/>
      </c>
      <c r="J67" s="5" t="str">
        <f>IFERROR(INDEX('ENTRADA DATOS'!$J$4:$J$123,MATCH(LARGE('ENTRADA DATOS'!$L$4:$L$123,64),'ENTRADA DATOS'!$L$4:$L$123,0)),"")</f>
        <v/>
      </c>
      <c r="K67" s="5" t="str">
        <f>IFERROR(INDEX('ENTRADA DATOS'!$K$4:$K$123,MATCH(LARGE('ENTRADA DATOS'!$L$4:$L$123,64),'ENTRADA DATOS'!$L$4:$L$123,0)),"")</f>
        <v/>
      </c>
    </row>
    <row r="68" spans="1:11" x14ac:dyDescent="0.3">
      <c r="A68" s="2" t="str">
        <f>IF(I68="","",65)</f>
        <v/>
      </c>
      <c r="B68" s="3" t="str">
        <f>IFERROR(INDEX('ENTRADA DATOS'!$B$4:$B$123,MATCH(LARGE('ENTRADA DATOS'!$L$4:$L$123,65),'ENTRADA DATOS'!$L$4:$L$123,0)),"")</f>
        <v/>
      </c>
      <c r="C68" s="2" t="str">
        <f>IFERROR(INDEX('ENTRADA DATOS'!$C$4:$C$123,MATCH(LARGE('ENTRADA DATOS'!$L$4:$L$123,65),'ENTRADA DATOS'!$L$4:$L$123,0)),"")</f>
        <v/>
      </c>
      <c r="D68" s="2" t="str">
        <f>IFERROR(INDEX('ENTRADA DATOS'!$D$4:$D$123,MATCH(LARGE('ENTRADA DATOS'!$L$4:$L$123,65),'ENTRADA DATOS'!$L$4:$L$123,0)),"")</f>
        <v/>
      </c>
      <c r="E68" s="2" t="str">
        <f>IFERROR(INDEX('ENTRADA DATOS'!$E$4:$E$123,MATCH(LARGE('ENTRADA DATOS'!$L$4:$L$123,65),'ENTRADA DATOS'!$L$4:$L$123,0)),"")</f>
        <v/>
      </c>
      <c r="F68" s="2" t="str">
        <f>IFERROR(INDEX('ENTRADA DATOS'!$F$4:$F$123,MATCH(LARGE('ENTRADA DATOS'!$L$4:$L$123,65),'ENTRADA DATOS'!$L$4:$L$123,0)),"")</f>
        <v/>
      </c>
      <c r="G68" s="2" t="str">
        <f>IFERROR(INDEX('ENTRADA DATOS'!$G$4:$G$123,MATCH(LARGE('ENTRADA DATOS'!$L$4:$L$123,65),'ENTRADA DATOS'!$L$4:$L$123,0)),"")</f>
        <v/>
      </c>
      <c r="H68" s="2" t="str">
        <f>IFERROR(INDEX('ENTRADA DATOS'!$H$4:$H$123,MATCH(LARGE('ENTRADA DATOS'!$L$4:$L$123,65),'ENTRADA DATOS'!$L$4:$L$123,0)),"")</f>
        <v/>
      </c>
      <c r="I68" s="2" t="str">
        <f>IFERROR(INDEX('ENTRADA DATOS'!$I$4:$I$123,MATCH(LARGE('ENTRADA DATOS'!$L$4:$L$123,65),'ENTRADA DATOS'!$L$4:$L$123,0)),"")</f>
        <v/>
      </c>
      <c r="J68" s="3" t="str">
        <f>IFERROR(INDEX('ENTRADA DATOS'!$J$4:$J$123,MATCH(LARGE('ENTRADA DATOS'!$L$4:$L$123,65),'ENTRADA DATOS'!$L$4:$L$123,0)),"")</f>
        <v/>
      </c>
      <c r="K68" s="3" t="str">
        <f>IFERROR(INDEX('ENTRADA DATOS'!$K$4:$K$123,MATCH(LARGE('ENTRADA DATOS'!$L$4:$L$123,65),'ENTRADA DATOS'!$L$4:$L$123,0)),"")</f>
        <v/>
      </c>
    </row>
    <row r="69" spans="1:11" x14ac:dyDescent="0.3">
      <c r="A69" s="4" t="str">
        <f>IF(I69="","",66)</f>
        <v/>
      </c>
      <c r="B69" s="5" t="str">
        <f>IFERROR(INDEX('ENTRADA DATOS'!$B$4:$B$123,MATCH(LARGE('ENTRADA DATOS'!$L$4:$L$123,66),'ENTRADA DATOS'!$L$4:$L$123,0)),"")</f>
        <v/>
      </c>
      <c r="C69" s="4" t="str">
        <f>IFERROR(INDEX('ENTRADA DATOS'!$C$4:$C$123,MATCH(LARGE('ENTRADA DATOS'!$L$4:$L$123,66),'ENTRADA DATOS'!$L$4:$L$123,0)),"")</f>
        <v/>
      </c>
      <c r="D69" s="4" t="str">
        <f>IFERROR(INDEX('ENTRADA DATOS'!$D$4:$D$123,MATCH(LARGE('ENTRADA DATOS'!$L$4:$L$123,66),'ENTRADA DATOS'!$L$4:$L$123,0)),"")</f>
        <v/>
      </c>
      <c r="E69" s="4" t="str">
        <f>IFERROR(INDEX('ENTRADA DATOS'!$E$4:$E$123,MATCH(LARGE('ENTRADA DATOS'!$L$4:$L$123,66),'ENTRADA DATOS'!$L$4:$L$123,0)),"")</f>
        <v/>
      </c>
      <c r="F69" s="4" t="str">
        <f>IFERROR(INDEX('ENTRADA DATOS'!$F$4:$F$123,MATCH(LARGE('ENTRADA DATOS'!$L$4:$L$123,66),'ENTRADA DATOS'!$L$4:$L$123,0)),"")</f>
        <v/>
      </c>
      <c r="G69" s="4" t="str">
        <f>IFERROR(INDEX('ENTRADA DATOS'!$G$4:$G$123,MATCH(LARGE('ENTRADA DATOS'!$L$4:$L$123,66),'ENTRADA DATOS'!$L$4:$L$123,0)),"")</f>
        <v/>
      </c>
      <c r="H69" s="4" t="str">
        <f>IFERROR(INDEX('ENTRADA DATOS'!$H$4:$H$123,MATCH(LARGE('ENTRADA DATOS'!$L$4:$L$123,66),'ENTRADA DATOS'!$L$4:$L$123,0)),"")</f>
        <v/>
      </c>
      <c r="I69" s="4" t="str">
        <f>IFERROR(INDEX('ENTRADA DATOS'!$I$4:$I$123,MATCH(LARGE('ENTRADA DATOS'!$L$4:$L$123,66),'ENTRADA DATOS'!$L$4:$L$123,0)),"")</f>
        <v/>
      </c>
      <c r="J69" s="5" t="str">
        <f>IFERROR(INDEX('ENTRADA DATOS'!$J$4:$J$123,MATCH(LARGE('ENTRADA DATOS'!$L$4:$L$123,66),'ENTRADA DATOS'!$L$4:$L$123,0)),"")</f>
        <v/>
      </c>
      <c r="K69" s="5" t="str">
        <f>IFERROR(INDEX('ENTRADA DATOS'!$K$4:$K$123,MATCH(LARGE('ENTRADA DATOS'!$L$4:$L$123,66),'ENTRADA DATOS'!$L$4:$L$123,0)),"")</f>
        <v/>
      </c>
    </row>
    <row r="70" spans="1:11" x14ac:dyDescent="0.3">
      <c r="A70" s="2" t="str">
        <f>IF(I70="","",67)</f>
        <v/>
      </c>
      <c r="B70" s="3" t="str">
        <f>IFERROR(INDEX('ENTRADA DATOS'!$B$4:$B$123,MATCH(LARGE('ENTRADA DATOS'!$L$4:$L$123,67),'ENTRADA DATOS'!$L$4:$L$123,0)),"")</f>
        <v/>
      </c>
      <c r="C70" s="2" t="str">
        <f>IFERROR(INDEX('ENTRADA DATOS'!$C$4:$C$123,MATCH(LARGE('ENTRADA DATOS'!$L$4:$L$123,67),'ENTRADA DATOS'!$L$4:$L$123,0)),"")</f>
        <v/>
      </c>
      <c r="D70" s="2" t="str">
        <f>IFERROR(INDEX('ENTRADA DATOS'!$D$4:$D$123,MATCH(LARGE('ENTRADA DATOS'!$L$4:$L$123,67),'ENTRADA DATOS'!$L$4:$L$123,0)),"")</f>
        <v/>
      </c>
      <c r="E70" s="2" t="str">
        <f>IFERROR(INDEX('ENTRADA DATOS'!$E$4:$E$123,MATCH(LARGE('ENTRADA DATOS'!$L$4:$L$123,67),'ENTRADA DATOS'!$L$4:$L$123,0)),"")</f>
        <v/>
      </c>
      <c r="F70" s="2" t="str">
        <f>IFERROR(INDEX('ENTRADA DATOS'!$F$4:$F$123,MATCH(LARGE('ENTRADA DATOS'!$L$4:$L$123,67),'ENTRADA DATOS'!$L$4:$L$123,0)),"")</f>
        <v/>
      </c>
      <c r="G70" s="2" t="str">
        <f>IFERROR(INDEX('ENTRADA DATOS'!$G$4:$G$123,MATCH(LARGE('ENTRADA DATOS'!$L$4:$L$123,67),'ENTRADA DATOS'!$L$4:$L$123,0)),"")</f>
        <v/>
      </c>
      <c r="H70" s="2" t="str">
        <f>IFERROR(INDEX('ENTRADA DATOS'!$H$4:$H$123,MATCH(LARGE('ENTRADA DATOS'!$L$4:$L$123,67),'ENTRADA DATOS'!$L$4:$L$123,0)),"")</f>
        <v/>
      </c>
      <c r="I70" s="2" t="str">
        <f>IFERROR(INDEX('ENTRADA DATOS'!$I$4:$I$123,MATCH(LARGE('ENTRADA DATOS'!$L$4:$L$123,67),'ENTRADA DATOS'!$L$4:$L$123,0)),"")</f>
        <v/>
      </c>
      <c r="J70" s="3" t="str">
        <f>IFERROR(INDEX('ENTRADA DATOS'!$J$4:$J$123,MATCH(LARGE('ENTRADA DATOS'!$L$4:$L$123,67),'ENTRADA DATOS'!$L$4:$L$123,0)),"")</f>
        <v/>
      </c>
      <c r="K70" s="3" t="str">
        <f>IFERROR(INDEX('ENTRADA DATOS'!$K$4:$K$123,MATCH(LARGE('ENTRADA DATOS'!$L$4:$L$123,67),'ENTRADA DATOS'!$L$4:$L$123,0)),"")</f>
        <v/>
      </c>
    </row>
    <row r="71" spans="1:11" x14ac:dyDescent="0.3">
      <c r="A71" s="4" t="str">
        <f>IF(I71="","",68)</f>
        <v/>
      </c>
      <c r="B71" s="5" t="str">
        <f>IFERROR(INDEX('ENTRADA DATOS'!$B$4:$B$123,MATCH(LARGE('ENTRADA DATOS'!$L$4:$L$123,68),'ENTRADA DATOS'!$L$4:$L$123,0)),"")</f>
        <v/>
      </c>
      <c r="C71" s="4" t="str">
        <f>IFERROR(INDEX('ENTRADA DATOS'!$C$4:$C$123,MATCH(LARGE('ENTRADA DATOS'!$L$4:$L$123,68),'ENTRADA DATOS'!$L$4:$L$123,0)),"")</f>
        <v/>
      </c>
      <c r="D71" s="4" t="str">
        <f>IFERROR(INDEX('ENTRADA DATOS'!$D$4:$D$123,MATCH(LARGE('ENTRADA DATOS'!$L$4:$L$123,68),'ENTRADA DATOS'!$L$4:$L$123,0)),"")</f>
        <v/>
      </c>
      <c r="E71" s="4" t="str">
        <f>IFERROR(INDEX('ENTRADA DATOS'!$E$4:$E$123,MATCH(LARGE('ENTRADA DATOS'!$L$4:$L$123,68),'ENTRADA DATOS'!$L$4:$L$123,0)),"")</f>
        <v/>
      </c>
      <c r="F71" s="4" t="str">
        <f>IFERROR(INDEX('ENTRADA DATOS'!$F$4:$F$123,MATCH(LARGE('ENTRADA DATOS'!$L$4:$L$123,68),'ENTRADA DATOS'!$L$4:$L$123,0)),"")</f>
        <v/>
      </c>
      <c r="G71" s="4" t="str">
        <f>IFERROR(INDEX('ENTRADA DATOS'!$G$4:$G$123,MATCH(LARGE('ENTRADA DATOS'!$L$4:$L$123,68),'ENTRADA DATOS'!$L$4:$L$123,0)),"")</f>
        <v/>
      </c>
      <c r="H71" s="4" t="str">
        <f>IFERROR(INDEX('ENTRADA DATOS'!$H$4:$H$123,MATCH(LARGE('ENTRADA DATOS'!$L$4:$L$123,68),'ENTRADA DATOS'!$L$4:$L$123,0)),"")</f>
        <v/>
      </c>
      <c r="I71" s="4" t="str">
        <f>IFERROR(INDEX('ENTRADA DATOS'!$I$4:$I$123,MATCH(LARGE('ENTRADA DATOS'!$L$4:$L$123,68),'ENTRADA DATOS'!$L$4:$L$123,0)),"")</f>
        <v/>
      </c>
      <c r="J71" s="5" t="str">
        <f>IFERROR(INDEX('ENTRADA DATOS'!$J$4:$J$123,MATCH(LARGE('ENTRADA DATOS'!$L$4:$L$123,68),'ENTRADA DATOS'!$L$4:$L$123,0)),"")</f>
        <v/>
      </c>
      <c r="K71" s="5" t="str">
        <f>IFERROR(INDEX('ENTRADA DATOS'!$K$4:$K$123,MATCH(LARGE('ENTRADA DATOS'!$L$4:$L$123,68),'ENTRADA DATOS'!$L$4:$L$123,0)),"")</f>
        <v/>
      </c>
    </row>
    <row r="72" spans="1:11" x14ac:dyDescent="0.3">
      <c r="A72" s="2" t="str">
        <f>IF(I72="","",69)</f>
        <v/>
      </c>
      <c r="B72" s="3" t="str">
        <f>IFERROR(INDEX('ENTRADA DATOS'!$B$4:$B$123,MATCH(LARGE('ENTRADA DATOS'!$L$4:$L$123,69),'ENTRADA DATOS'!$L$4:$L$123,0)),"")</f>
        <v/>
      </c>
      <c r="C72" s="2" t="str">
        <f>IFERROR(INDEX('ENTRADA DATOS'!$C$4:$C$123,MATCH(LARGE('ENTRADA DATOS'!$L$4:$L$123,69),'ENTRADA DATOS'!$L$4:$L$123,0)),"")</f>
        <v/>
      </c>
      <c r="D72" s="2" t="str">
        <f>IFERROR(INDEX('ENTRADA DATOS'!$D$4:$D$123,MATCH(LARGE('ENTRADA DATOS'!$L$4:$L$123,69),'ENTRADA DATOS'!$L$4:$L$123,0)),"")</f>
        <v/>
      </c>
      <c r="E72" s="2" t="str">
        <f>IFERROR(INDEX('ENTRADA DATOS'!$E$4:$E$123,MATCH(LARGE('ENTRADA DATOS'!$L$4:$L$123,69),'ENTRADA DATOS'!$L$4:$L$123,0)),"")</f>
        <v/>
      </c>
      <c r="F72" s="2" t="str">
        <f>IFERROR(INDEX('ENTRADA DATOS'!$F$4:$F$123,MATCH(LARGE('ENTRADA DATOS'!$L$4:$L$123,69),'ENTRADA DATOS'!$L$4:$L$123,0)),"")</f>
        <v/>
      </c>
      <c r="G72" s="2" t="str">
        <f>IFERROR(INDEX('ENTRADA DATOS'!$G$4:$G$123,MATCH(LARGE('ENTRADA DATOS'!$L$4:$L$123,69),'ENTRADA DATOS'!$L$4:$L$123,0)),"")</f>
        <v/>
      </c>
      <c r="H72" s="2" t="str">
        <f>IFERROR(INDEX('ENTRADA DATOS'!$H$4:$H$123,MATCH(LARGE('ENTRADA DATOS'!$L$4:$L$123,69),'ENTRADA DATOS'!$L$4:$L$123,0)),"")</f>
        <v/>
      </c>
      <c r="I72" s="2" t="str">
        <f>IFERROR(INDEX('ENTRADA DATOS'!$I$4:$I$123,MATCH(LARGE('ENTRADA DATOS'!$L$4:$L$123,69),'ENTRADA DATOS'!$L$4:$L$123,0)),"")</f>
        <v/>
      </c>
      <c r="J72" s="3" t="str">
        <f>IFERROR(INDEX('ENTRADA DATOS'!$J$4:$J$123,MATCH(LARGE('ENTRADA DATOS'!$L$4:$L$123,69),'ENTRADA DATOS'!$L$4:$L$123,0)),"")</f>
        <v/>
      </c>
      <c r="K72" s="3" t="str">
        <f>IFERROR(INDEX('ENTRADA DATOS'!$K$4:$K$123,MATCH(LARGE('ENTRADA DATOS'!$L$4:$L$123,69),'ENTRADA DATOS'!$L$4:$L$123,0)),"")</f>
        <v/>
      </c>
    </row>
    <row r="73" spans="1:11" x14ac:dyDescent="0.3">
      <c r="A73" s="4" t="str">
        <f>IF(I73="","",70)</f>
        <v/>
      </c>
      <c r="B73" s="5" t="str">
        <f>IFERROR(INDEX('ENTRADA DATOS'!$B$4:$B$123,MATCH(LARGE('ENTRADA DATOS'!$L$4:$L$123,70),'ENTRADA DATOS'!$L$4:$L$123,0)),"")</f>
        <v/>
      </c>
      <c r="C73" s="4" t="str">
        <f>IFERROR(INDEX('ENTRADA DATOS'!$C$4:$C$123,MATCH(LARGE('ENTRADA DATOS'!$L$4:$L$123,70),'ENTRADA DATOS'!$L$4:$L$123,0)),"")</f>
        <v/>
      </c>
      <c r="D73" s="4" t="str">
        <f>IFERROR(INDEX('ENTRADA DATOS'!$D$4:$D$123,MATCH(LARGE('ENTRADA DATOS'!$L$4:$L$123,70),'ENTRADA DATOS'!$L$4:$L$123,0)),"")</f>
        <v/>
      </c>
      <c r="E73" s="4" t="str">
        <f>IFERROR(INDEX('ENTRADA DATOS'!$E$4:$E$123,MATCH(LARGE('ENTRADA DATOS'!$L$4:$L$123,70),'ENTRADA DATOS'!$L$4:$L$123,0)),"")</f>
        <v/>
      </c>
      <c r="F73" s="4" t="str">
        <f>IFERROR(INDEX('ENTRADA DATOS'!$F$4:$F$123,MATCH(LARGE('ENTRADA DATOS'!$L$4:$L$123,70),'ENTRADA DATOS'!$L$4:$L$123,0)),"")</f>
        <v/>
      </c>
      <c r="G73" s="4" t="str">
        <f>IFERROR(INDEX('ENTRADA DATOS'!$G$4:$G$123,MATCH(LARGE('ENTRADA DATOS'!$L$4:$L$123,70),'ENTRADA DATOS'!$L$4:$L$123,0)),"")</f>
        <v/>
      </c>
      <c r="H73" s="4" t="str">
        <f>IFERROR(INDEX('ENTRADA DATOS'!$H$4:$H$123,MATCH(LARGE('ENTRADA DATOS'!$L$4:$L$123,70),'ENTRADA DATOS'!$L$4:$L$123,0)),"")</f>
        <v/>
      </c>
      <c r="I73" s="4" t="str">
        <f>IFERROR(INDEX('ENTRADA DATOS'!$I$4:$I$123,MATCH(LARGE('ENTRADA DATOS'!$L$4:$L$123,70),'ENTRADA DATOS'!$L$4:$L$123,0)),"")</f>
        <v/>
      </c>
      <c r="J73" s="5" t="str">
        <f>IFERROR(INDEX('ENTRADA DATOS'!$J$4:$J$123,MATCH(LARGE('ENTRADA DATOS'!$L$4:$L$123,70),'ENTRADA DATOS'!$L$4:$L$123,0)),"")</f>
        <v/>
      </c>
      <c r="K73" s="5" t="str">
        <f>IFERROR(INDEX('ENTRADA DATOS'!$K$4:$K$123,MATCH(LARGE('ENTRADA DATOS'!$L$4:$L$123,70),'ENTRADA DATOS'!$L$4:$L$123,0)),"")</f>
        <v/>
      </c>
    </row>
    <row r="74" spans="1:11" x14ac:dyDescent="0.3">
      <c r="A74" s="2" t="str">
        <f>IF(I74="","",71)</f>
        <v/>
      </c>
      <c r="B74" s="3" t="str">
        <f>IFERROR(INDEX('ENTRADA DATOS'!$B$4:$B$123,MATCH(LARGE('ENTRADA DATOS'!$L$4:$L$123,71),'ENTRADA DATOS'!$L$4:$L$123,0)),"")</f>
        <v/>
      </c>
      <c r="C74" s="2" t="str">
        <f>IFERROR(INDEX('ENTRADA DATOS'!$C$4:$C$123,MATCH(LARGE('ENTRADA DATOS'!$L$4:$L$123,71),'ENTRADA DATOS'!$L$4:$L$123,0)),"")</f>
        <v/>
      </c>
      <c r="D74" s="2" t="str">
        <f>IFERROR(INDEX('ENTRADA DATOS'!$D$4:$D$123,MATCH(LARGE('ENTRADA DATOS'!$L$4:$L$123,71),'ENTRADA DATOS'!$L$4:$L$123,0)),"")</f>
        <v/>
      </c>
      <c r="E74" s="2" t="str">
        <f>IFERROR(INDEX('ENTRADA DATOS'!$E$4:$E$123,MATCH(LARGE('ENTRADA DATOS'!$L$4:$L$123,71),'ENTRADA DATOS'!$L$4:$L$123,0)),"")</f>
        <v/>
      </c>
      <c r="F74" s="2" t="str">
        <f>IFERROR(INDEX('ENTRADA DATOS'!$F$4:$F$123,MATCH(LARGE('ENTRADA DATOS'!$L$4:$L$123,71),'ENTRADA DATOS'!$L$4:$L$123,0)),"")</f>
        <v/>
      </c>
      <c r="G74" s="2" t="str">
        <f>IFERROR(INDEX('ENTRADA DATOS'!$G$4:$G$123,MATCH(LARGE('ENTRADA DATOS'!$L$4:$L$123,71),'ENTRADA DATOS'!$L$4:$L$123,0)),"")</f>
        <v/>
      </c>
      <c r="H74" s="2" t="str">
        <f>IFERROR(INDEX('ENTRADA DATOS'!$H$4:$H$123,MATCH(LARGE('ENTRADA DATOS'!$L$4:$L$123,71),'ENTRADA DATOS'!$L$4:$L$123,0)),"")</f>
        <v/>
      </c>
      <c r="I74" s="2" t="str">
        <f>IFERROR(INDEX('ENTRADA DATOS'!$I$4:$I$123,MATCH(LARGE('ENTRADA DATOS'!$L$4:$L$123,71),'ENTRADA DATOS'!$L$4:$L$123,0)),"")</f>
        <v/>
      </c>
      <c r="J74" s="3" t="str">
        <f>IFERROR(INDEX('ENTRADA DATOS'!$J$4:$J$123,MATCH(LARGE('ENTRADA DATOS'!$L$4:$L$123,71),'ENTRADA DATOS'!$L$4:$L$123,0)),"")</f>
        <v/>
      </c>
      <c r="K74" s="3" t="str">
        <f>IFERROR(INDEX('ENTRADA DATOS'!$K$4:$K$123,MATCH(LARGE('ENTRADA DATOS'!$L$4:$L$123,71),'ENTRADA DATOS'!$L$4:$L$123,0)),"")</f>
        <v/>
      </c>
    </row>
    <row r="75" spans="1:11" x14ac:dyDescent="0.3">
      <c r="A75" s="4" t="str">
        <f>IF(I75="","",72)</f>
        <v/>
      </c>
      <c r="B75" s="5" t="str">
        <f>IFERROR(INDEX('ENTRADA DATOS'!$B$4:$B$123,MATCH(LARGE('ENTRADA DATOS'!$L$4:$L$123,72),'ENTRADA DATOS'!$L$4:$L$123,0)),"")</f>
        <v/>
      </c>
      <c r="C75" s="4" t="str">
        <f>IFERROR(INDEX('ENTRADA DATOS'!$C$4:$C$123,MATCH(LARGE('ENTRADA DATOS'!$L$4:$L$123,72),'ENTRADA DATOS'!$L$4:$L$123,0)),"")</f>
        <v/>
      </c>
      <c r="D75" s="4" t="str">
        <f>IFERROR(INDEX('ENTRADA DATOS'!$D$4:$D$123,MATCH(LARGE('ENTRADA DATOS'!$L$4:$L$123,72),'ENTRADA DATOS'!$L$4:$L$123,0)),"")</f>
        <v/>
      </c>
      <c r="E75" s="4" t="str">
        <f>IFERROR(INDEX('ENTRADA DATOS'!$E$4:$E$123,MATCH(LARGE('ENTRADA DATOS'!$L$4:$L$123,72),'ENTRADA DATOS'!$L$4:$L$123,0)),"")</f>
        <v/>
      </c>
      <c r="F75" s="4" t="str">
        <f>IFERROR(INDEX('ENTRADA DATOS'!$F$4:$F$123,MATCH(LARGE('ENTRADA DATOS'!$L$4:$L$123,72),'ENTRADA DATOS'!$L$4:$L$123,0)),"")</f>
        <v/>
      </c>
      <c r="G75" s="4" t="str">
        <f>IFERROR(INDEX('ENTRADA DATOS'!$G$4:$G$123,MATCH(LARGE('ENTRADA DATOS'!$L$4:$L$123,72),'ENTRADA DATOS'!$L$4:$L$123,0)),"")</f>
        <v/>
      </c>
      <c r="H75" s="4" t="str">
        <f>IFERROR(INDEX('ENTRADA DATOS'!$H$4:$H$123,MATCH(LARGE('ENTRADA DATOS'!$L$4:$L$123,72),'ENTRADA DATOS'!$L$4:$L$123,0)),"")</f>
        <v/>
      </c>
      <c r="I75" s="4" t="str">
        <f>IFERROR(INDEX('ENTRADA DATOS'!$I$4:$I$123,MATCH(LARGE('ENTRADA DATOS'!$L$4:$L$123,72),'ENTRADA DATOS'!$L$4:$L$123,0)),"")</f>
        <v/>
      </c>
      <c r="J75" s="5" t="str">
        <f>IFERROR(INDEX('ENTRADA DATOS'!$J$4:$J$123,MATCH(LARGE('ENTRADA DATOS'!$L$4:$L$123,72),'ENTRADA DATOS'!$L$4:$L$123,0)),"")</f>
        <v/>
      </c>
      <c r="K75" s="5" t="str">
        <f>IFERROR(INDEX('ENTRADA DATOS'!$K$4:$K$123,MATCH(LARGE('ENTRADA DATOS'!$L$4:$L$123,72),'ENTRADA DATOS'!$L$4:$L$123,0)),"")</f>
        <v/>
      </c>
    </row>
    <row r="76" spans="1:11" x14ac:dyDescent="0.3">
      <c r="A76" s="2" t="str">
        <f>IF(I76="","",73)</f>
        <v/>
      </c>
      <c r="B76" s="3" t="str">
        <f>IFERROR(INDEX('ENTRADA DATOS'!$B$4:$B$123,MATCH(LARGE('ENTRADA DATOS'!$L$4:$L$123,73),'ENTRADA DATOS'!$L$4:$L$123,0)),"")</f>
        <v/>
      </c>
      <c r="C76" s="2" t="str">
        <f>IFERROR(INDEX('ENTRADA DATOS'!$C$4:$C$123,MATCH(LARGE('ENTRADA DATOS'!$L$4:$L$123,73),'ENTRADA DATOS'!$L$4:$L$123,0)),"")</f>
        <v/>
      </c>
      <c r="D76" s="2" t="str">
        <f>IFERROR(INDEX('ENTRADA DATOS'!$D$4:$D$123,MATCH(LARGE('ENTRADA DATOS'!$L$4:$L$123,73),'ENTRADA DATOS'!$L$4:$L$123,0)),"")</f>
        <v/>
      </c>
      <c r="E76" s="2" t="str">
        <f>IFERROR(INDEX('ENTRADA DATOS'!$E$4:$E$123,MATCH(LARGE('ENTRADA DATOS'!$L$4:$L$123,73),'ENTRADA DATOS'!$L$4:$L$123,0)),"")</f>
        <v/>
      </c>
      <c r="F76" s="2" t="str">
        <f>IFERROR(INDEX('ENTRADA DATOS'!$F$4:$F$123,MATCH(LARGE('ENTRADA DATOS'!$L$4:$L$123,73),'ENTRADA DATOS'!$L$4:$L$123,0)),"")</f>
        <v/>
      </c>
      <c r="G76" s="2" t="str">
        <f>IFERROR(INDEX('ENTRADA DATOS'!$G$4:$G$123,MATCH(LARGE('ENTRADA DATOS'!$L$4:$L$123,73),'ENTRADA DATOS'!$L$4:$L$123,0)),"")</f>
        <v/>
      </c>
      <c r="H76" s="2" t="str">
        <f>IFERROR(INDEX('ENTRADA DATOS'!$H$4:$H$123,MATCH(LARGE('ENTRADA DATOS'!$L$4:$L$123,73),'ENTRADA DATOS'!$L$4:$L$123,0)),"")</f>
        <v/>
      </c>
      <c r="I76" s="2" t="str">
        <f>IFERROR(INDEX('ENTRADA DATOS'!$I$4:$I$123,MATCH(LARGE('ENTRADA DATOS'!$L$4:$L$123,73),'ENTRADA DATOS'!$L$4:$L$123,0)),"")</f>
        <v/>
      </c>
      <c r="J76" s="3" t="str">
        <f>IFERROR(INDEX('ENTRADA DATOS'!$J$4:$J$123,MATCH(LARGE('ENTRADA DATOS'!$L$4:$L$123,73),'ENTRADA DATOS'!$L$4:$L$123,0)),"")</f>
        <v/>
      </c>
      <c r="K76" s="3" t="str">
        <f>IFERROR(INDEX('ENTRADA DATOS'!$K$4:$K$123,MATCH(LARGE('ENTRADA DATOS'!$L$4:$L$123,73),'ENTRADA DATOS'!$L$4:$L$123,0)),"")</f>
        <v/>
      </c>
    </row>
    <row r="77" spans="1:11" x14ac:dyDescent="0.3">
      <c r="A77" s="4" t="str">
        <f>IF(I77="","",74)</f>
        <v/>
      </c>
      <c r="B77" s="5" t="str">
        <f>IFERROR(INDEX('ENTRADA DATOS'!$B$4:$B$123,MATCH(LARGE('ENTRADA DATOS'!$L$4:$L$123,74),'ENTRADA DATOS'!$L$4:$L$123,0)),"")</f>
        <v/>
      </c>
      <c r="C77" s="4" t="str">
        <f>IFERROR(INDEX('ENTRADA DATOS'!$C$4:$C$123,MATCH(LARGE('ENTRADA DATOS'!$L$4:$L$123,74),'ENTRADA DATOS'!$L$4:$L$123,0)),"")</f>
        <v/>
      </c>
      <c r="D77" s="4" t="str">
        <f>IFERROR(INDEX('ENTRADA DATOS'!$D$4:$D$123,MATCH(LARGE('ENTRADA DATOS'!$L$4:$L$123,74),'ENTRADA DATOS'!$L$4:$L$123,0)),"")</f>
        <v/>
      </c>
      <c r="E77" s="4" t="str">
        <f>IFERROR(INDEX('ENTRADA DATOS'!$E$4:$E$123,MATCH(LARGE('ENTRADA DATOS'!$L$4:$L$123,74),'ENTRADA DATOS'!$L$4:$L$123,0)),"")</f>
        <v/>
      </c>
      <c r="F77" s="4" t="str">
        <f>IFERROR(INDEX('ENTRADA DATOS'!$F$4:$F$123,MATCH(LARGE('ENTRADA DATOS'!$L$4:$L$123,74),'ENTRADA DATOS'!$L$4:$L$123,0)),"")</f>
        <v/>
      </c>
      <c r="G77" s="4" t="str">
        <f>IFERROR(INDEX('ENTRADA DATOS'!$G$4:$G$123,MATCH(LARGE('ENTRADA DATOS'!$L$4:$L$123,74),'ENTRADA DATOS'!$L$4:$L$123,0)),"")</f>
        <v/>
      </c>
      <c r="H77" s="4" t="str">
        <f>IFERROR(INDEX('ENTRADA DATOS'!$H$4:$H$123,MATCH(LARGE('ENTRADA DATOS'!$L$4:$L$123,74),'ENTRADA DATOS'!$L$4:$L$123,0)),"")</f>
        <v/>
      </c>
      <c r="I77" s="4" t="str">
        <f>IFERROR(INDEX('ENTRADA DATOS'!$I$4:$I$123,MATCH(LARGE('ENTRADA DATOS'!$L$4:$L$123,74),'ENTRADA DATOS'!$L$4:$L$123,0)),"")</f>
        <v/>
      </c>
      <c r="J77" s="5" t="str">
        <f>IFERROR(INDEX('ENTRADA DATOS'!$J$4:$J$123,MATCH(LARGE('ENTRADA DATOS'!$L$4:$L$123,74),'ENTRADA DATOS'!$L$4:$L$123,0)),"")</f>
        <v/>
      </c>
      <c r="K77" s="5" t="str">
        <f>IFERROR(INDEX('ENTRADA DATOS'!$K$4:$K$123,MATCH(LARGE('ENTRADA DATOS'!$L$4:$L$123,74),'ENTRADA DATOS'!$L$4:$L$123,0)),"")</f>
        <v/>
      </c>
    </row>
    <row r="78" spans="1:11" x14ac:dyDescent="0.3">
      <c r="A78" s="2" t="str">
        <f>IF(I78="","",75)</f>
        <v/>
      </c>
      <c r="B78" s="3" t="str">
        <f>IFERROR(INDEX('ENTRADA DATOS'!$B$4:$B$123,MATCH(LARGE('ENTRADA DATOS'!$L$4:$L$123,75),'ENTRADA DATOS'!$L$4:$L$123,0)),"")</f>
        <v/>
      </c>
      <c r="C78" s="2" t="str">
        <f>IFERROR(INDEX('ENTRADA DATOS'!$C$4:$C$123,MATCH(LARGE('ENTRADA DATOS'!$L$4:$L$123,75),'ENTRADA DATOS'!$L$4:$L$123,0)),"")</f>
        <v/>
      </c>
      <c r="D78" s="2" t="str">
        <f>IFERROR(INDEX('ENTRADA DATOS'!$D$4:$D$123,MATCH(LARGE('ENTRADA DATOS'!$L$4:$L$123,75),'ENTRADA DATOS'!$L$4:$L$123,0)),"")</f>
        <v/>
      </c>
      <c r="E78" s="2" t="str">
        <f>IFERROR(INDEX('ENTRADA DATOS'!$E$4:$E$123,MATCH(LARGE('ENTRADA DATOS'!$L$4:$L$123,75),'ENTRADA DATOS'!$L$4:$L$123,0)),"")</f>
        <v/>
      </c>
      <c r="F78" s="2" t="str">
        <f>IFERROR(INDEX('ENTRADA DATOS'!$F$4:$F$123,MATCH(LARGE('ENTRADA DATOS'!$L$4:$L$123,75),'ENTRADA DATOS'!$L$4:$L$123,0)),"")</f>
        <v/>
      </c>
      <c r="G78" s="2" t="str">
        <f>IFERROR(INDEX('ENTRADA DATOS'!$G$4:$G$123,MATCH(LARGE('ENTRADA DATOS'!$L$4:$L$123,75),'ENTRADA DATOS'!$L$4:$L$123,0)),"")</f>
        <v/>
      </c>
      <c r="H78" s="2" t="str">
        <f>IFERROR(INDEX('ENTRADA DATOS'!$H$4:$H$123,MATCH(LARGE('ENTRADA DATOS'!$L$4:$L$123,75),'ENTRADA DATOS'!$L$4:$L$123,0)),"")</f>
        <v/>
      </c>
      <c r="I78" s="2" t="str">
        <f>IFERROR(INDEX('ENTRADA DATOS'!$I$4:$I$123,MATCH(LARGE('ENTRADA DATOS'!$L$4:$L$123,75),'ENTRADA DATOS'!$L$4:$L$123,0)),"")</f>
        <v/>
      </c>
      <c r="J78" s="3" t="str">
        <f>IFERROR(INDEX('ENTRADA DATOS'!$J$4:$J$123,MATCH(LARGE('ENTRADA DATOS'!$L$4:$L$123,75),'ENTRADA DATOS'!$L$4:$L$123,0)),"")</f>
        <v/>
      </c>
      <c r="K78" s="3" t="str">
        <f>IFERROR(INDEX('ENTRADA DATOS'!$K$4:$K$123,MATCH(LARGE('ENTRADA DATOS'!$L$4:$L$123,75),'ENTRADA DATOS'!$L$4:$L$123,0)),"")</f>
        <v/>
      </c>
    </row>
    <row r="79" spans="1:11" x14ac:dyDescent="0.3">
      <c r="A79" s="4" t="str">
        <f>IF(I79="","",76)</f>
        <v/>
      </c>
      <c r="B79" s="5" t="str">
        <f>IFERROR(INDEX('ENTRADA DATOS'!$B$4:$B$123,MATCH(LARGE('ENTRADA DATOS'!$L$4:$L$123,76),'ENTRADA DATOS'!$L$4:$L$123,0)),"")</f>
        <v/>
      </c>
      <c r="C79" s="4" t="str">
        <f>IFERROR(INDEX('ENTRADA DATOS'!$C$4:$C$123,MATCH(LARGE('ENTRADA DATOS'!$L$4:$L$123,76),'ENTRADA DATOS'!$L$4:$L$123,0)),"")</f>
        <v/>
      </c>
      <c r="D79" s="4" t="str">
        <f>IFERROR(INDEX('ENTRADA DATOS'!$D$4:$D$123,MATCH(LARGE('ENTRADA DATOS'!$L$4:$L$123,76),'ENTRADA DATOS'!$L$4:$L$123,0)),"")</f>
        <v/>
      </c>
      <c r="E79" s="4" t="str">
        <f>IFERROR(INDEX('ENTRADA DATOS'!$E$4:$E$123,MATCH(LARGE('ENTRADA DATOS'!$L$4:$L$123,76),'ENTRADA DATOS'!$L$4:$L$123,0)),"")</f>
        <v/>
      </c>
      <c r="F79" s="4" t="str">
        <f>IFERROR(INDEX('ENTRADA DATOS'!$F$4:$F$123,MATCH(LARGE('ENTRADA DATOS'!$L$4:$L$123,76),'ENTRADA DATOS'!$L$4:$L$123,0)),"")</f>
        <v/>
      </c>
      <c r="G79" s="4" t="str">
        <f>IFERROR(INDEX('ENTRADA DATOS'!$G$4:$G$123,MATCH(LARGE('ENTRADA DATOS'!$L$4:$L$123,76),'ENTRADA DATOS'!$L$4:$L$123,0)),"")</f>
        <v/>
      </c>
      <c r="H79" s="4" t="str">
        <f>IFERROR(INDEX('ENTRADA DATOS'!$H$4:$H$123,MATCH(LARGE('ENTRADA DATOS'!$L$4:$L$123,76),'ENTRADA DATOS'!$L$4:$L$123,0)),"")</f>
        <v/>
      </c>
      <c r="I79" s="4" t="str">
        <f>IFERROR(INDEX('ENTRADA DATOS'!$I$4:$I$123,MATCH(LARGE('ENTRADA DATOS'!$L$4:$L$123,76),'ENTRADA DATOS'!$L$4:$L$123,0)),"")</f>
        <v/>
      </c>
      <c r="J79" s="5" t="str">
        <f>IFERROR(INDEX('ENTRADA DATOS'!$J$4:$J$123,MATCH(LARGE('ENTRADA DATOS'!$L$4:$L$123,76),'ENTRADA DATOS'!$L$4:$L$123,0)),"")</f>
        <v/>
      </c>
      <c r="K79" s="5" t="str">
        <f>IFERROR(INDEX('ENTRADA DATOS'!$K$4:$K$123,MATCH(LARGE('ENTRADA DATOS'!$L$4:$L$123,76),'ENTRADA DATOS'!$L$4:$L$123,0)),"")</f>
        <v/>
      </c>
    </row>
    <row r="80" spans="1:11" x14ac:dyDescent="0.3">
      <c r="A80" s="2" t="str">
        <f>IF(I80="","",77)</f>
        <v/>
      </c>
      <c r="B80" s="3" t="str">
        <f>IFERROR(INDEX('ENTRADA DATOS'!$B$4:$B$123,MATCH(LARGE('ENTRADA DATOS'!$L$4:$L$123,77),'ENTRADA DATOS'!$L$4:$L$123,0)),"")</f>
        <v/>
      </c>
      <c r="C80" s="2" t="str">
        <f>IFERROR(INDEX('ENTRADA DATOS'!$C$4:$C$123,MATCH(LARGE('ENTRADA DATOS'!$L$4:$L$123,77),'ENTRADA DATOS'!$L$4:$L$123,0)),"")</f>
        <v/>
      </c>
      <c r="D80" s="2" t="str">
        <f>IFERROR(INDEX('ENTRADA DATOS'!$D$4:$D$123,MATCH(LARGE('ENTRADA DATOS'!$L$4:$L$123,77),'ENTRADA DATOS'!$L$4:$L$123,0)),"")</f>
        <v/>
      </c>
      <c r="E80" s="2" t="str">
        <f>IFERROR(INDEX('ENTRADA DATOS'!$E$4:$E$123,MATCH(LARGE('ENTRADA DATOS'!$L$4:$L$123,77),'ENTRADA DATOS'!$L$4:$L$123,0)),"")</f>
        <v/>
      </c>
      <c r="F80" s="2" t="str">
        <f>IFERROR(INDEX('ENTRADA DATOS'!$F$4:$F$123,MATCH(LARGE('ENTRADA DATOS'!$L$4:$L$123,77),'ENTRADA DATOS'!$L$4:$L$123,0)),"")</f>
        <v/>
      </c>
      <c r="G80" s="2" t="str">
        <f>IFERROR(INDEX('ENTRADA DATOS'!$G$4:$G$123,MATCH(LARGE('ENTRADA DATOS'!$L$4:$L$123,77),'ENTRADA DATOS'!$L$4:$L$123,0)),"")</f>
        <v/>
      </c>
      <c r="H80" s="2" t="str">
        <f>IFERROR(INDEX('ENTRADA DATOS'!$H$4:$H$123,MATCH(LARGE('ENTRADA DATOS'!$L$4:$L$123,77),'ENTRADA DATOS'!$L$4:$L$123,0)),"")</f>
        <v/>
      </c>
      <c r="I80" s="2" t="str">
        <f>IFERROR(INDEX('ENTRADA DATOS'!$I$4:$I$123,MATCH(LARGE('ENTRADA DATOS'!$L$4:$L$123,77),'ENTRADA DATOS'!$L$4:$L$123,0)),"")</f>
        <v/>
      </c>
      <c r="J80" s="3" t="str">
        <f>IFERROR(INDEX('ENTRADA DATOS'!$J$4:$J$123,MATCH(LARGE('ENTRADA DATOS'!$L$4:$L$123,77),'ENTRADA DATOS'!$L$4:$L$123,0)),"")</f>
        <v/>
      </c>
      <c r="K80" s="3" t="str">
        <f>IFERROR(INDEX('ENTRADA DATOS'!$K$4:$K$123,MATCH(LARGE('ENTRADA DATOS'!$L$4:$L$123,77),'ENTRADA DATOS'!$L$4:$L$123,0)),"")</f>
        <v/>
      </c>
    </row>
    <row r="81" spans="1:11" x14ac:dyDescent="0.3">
      <c r="A81" s="4" t="str">
        <f>IF(I81="","",78)</f>
        <v/>
      </c>
      <c r="B81" s="5" t="str">
        <f>IFERROR(INDEX('ENTRADA DATOS'!$B$4:$B$123,MATCH(LARGE('ENTRADA DATOS'!$L$4:$L$123,78),'ENTRADA DATOS'!$L$4:$L$123,0)),"")</f>
        <v/>
      </c>
      <c r="C81" s="4" t="str">
        <f>IFERROR(INDEX('ENTRADA DATOS'!$C$4:$C$123,MATCH(LARGE('ENTRADA DATOS'!$L$4:$L$123,78),'ENTRADA DATOS'!$L$4:$L$123,0)),"")</f>
        <v/>
      </c>
      <c r="D81" s="4" t="str">
        <f>IFERROR(INDEX('ENTRADA DATOS'!$D$4:$D$123,MATCH(LARGE('ENTRADA DATOS'!$L$4:$L$123,78),'ENTRADA DATOS'!$L$4:$L$123,0)),"")</f>
        <v/>
      </c>
      <c r="E81" s="4" t="str">
        <f>IFERROR(INDEX('ENTRADA DATOS'!$E$4:$E$123,MATCH(LARGE('ENTRADA DATOS'!$L$4:$L$123,78),'ENTRADA DATOS'!$L$4:$L$123,0)),"")</f>
        <v/>
      </c>
      <c r="F81" s="4" t="str">
        <f>IFERROR(INDEX('ENTRADA DATOS'!$F$4:$F$123,MATCH(LARGE('ENTRADA DATOS'!$L$4:$L$123,78),'ENTRADA DATOS'!$L$4:$L$123,0)),"")</f>
        <v/>
      </c>
      <c r="G81" s="4" t="str">
        <f>IFERROR(INDEX('ENTRADA DATOS'!$G$4:$G$123,MATCH(LARGE('ENTRADA DATOS'!$L$4:$L$123,78),'ENTRADA DATOS'!$L$4:$L$123,0)),"")</f>
        <v/>
      </c>
      <c r="H81" s="4" t="str">
        <f>IFERROR(INDEX('ENTRADA DATOS'!$H$4:$H$123,MATCH(LARGE('ENTRADA DATOS'!$L$4:$L$123,78),'ENTRADA DATOS'!$L$4:$L$123,0)),"")</f>
        <v/>
      </c>
      <c r="I81" s="4" t="str">
        <f>IFERROR(INDEX('ENTRADA DATOS'!$I$4:$I$123,MATCH(LARGE('ENTRADA DATOS'!$L$4:$L$123,78),'ENTRADA DATOS'!$L$4:$L$123,0)),"")</f>
        <v/>
      </c>
      <c r="J81" s="5" t="str">
        <f>IFERROR(INDEX('ENTRADA DATOS'!$J$4:$J$123,MATCH(LARGE('ENTRADA DATOS'!$L$4:$L$123,78),'ENTRADA DATOS'!$L$4:$L$123,0)),"")</f>
        <v/>
      </c>
      <c r="K81" s="5" t="str">
        <f>IFERROR(INDEX('ENTRADA DATOS'!$K$4:$K$123,MATCH(LARGE('ENTRADA DATOS'!$L$4:$L$123,78),'ENTRADA DATOS'!$L$4:$L$123,0)),"")</f>
        <v/>
      </c>
    </row>
    <row r="82" spans="1:11" x14ac:dyDescent="0.3">
      <c r="A82" s="2" t="str">
        <f>IF(I82="","",79)</f>
        <v/>
      </c>
      <c r="B82" s="3" t="str">
        <f>IFERROR(INDEX('ENTRADA DATOS'!$B$4:$B$123,MATCH(LARGE('ENTRADA DATOS'!$L$4:$L$123,79),'ENTRADA DATOS'!$L$4:$L$123,0)),"")</f>
        <v/>
      </c>
      <c r="C82" s="2" t="str">
        <f>IFERROR(INDEX('ENTRADA DATOS'!$C$4:$C$123,MATCH(LARGE('ENTRADA DATOS'!$L$4:$L$123,79),'ENTRADA DATOS'!$L$4:$L$123,0)),"")</f>
        <v/>
      </c>
      <c r="D82" s="2" t="str">
        <f>IFERROR(INDEX('ENTRADA DATOS'!$D$4:$D$123,MATCH(LARGE('ENTRADA DATOS'!$L$4:$L$123,79),'ENTRADA DATOS'!$L$4:$L$123,0)),"")</f>
        <v/>
      </c>
      <c r="E82" s="2" t="str">
        <f>IFERROR(INDEX('ENTRADA DATOS'!$E$4:$E$123,MATCH(LARGE('ENTRADA DATOS'!$L$4:$L$123,79),'ENTRADA DATOS'!$L$4:$L$123,0)),"")</f>
        <v/>
      </c>
      <c r="F82" s="2" t="str">
        <f>IFERROR(INDEX('ENTRADA DATOS'!$F$4:$F$123,MATCH(LARGE('ENTRADA DATOS'!$L$4:$L$123,79),'ENTRADA DATOS'!$L$4:$L$123,0)),"")</f>
        <v/>
      </c>
      <c r="G82" s="2" t="str">
        <f>IFERROR(INDEX('ENTRADA DATOS'!$G$4:$G$123,MATCH(LARGE('ENTRADA DATOS'!$L$4:$L$123,79),'ENTRADA DATOS'!$L$4:$L$123,0)),"")</f>
        <v/>
      </c>
      <c r="H82" s="2" t="str">
        <f>IFERROR(INDEX('ENTRADA DATOS'!$H$4:$H$123,MATCH(LARGE('ENTRADA DATOS'!$L$4:$L$123,79),'ENTRADA DATOS'!$L$4:$L$123,0)),"")</f>
        <v/>
      </c>
      <c r="I82" s="2" t="str">
        <f>IFERROR(INDEX('ENTRADA DATOS'!$I$4:$I$123,MATCH(LARGE('ENTRADA DATOS'!$L$4:$L$123,79),'ENTRADA DATOS'!$L$4:$L$123,0)),"")</f>
        <v/>
      </c>
      <c r="J82" s="3" t="str">
        <f>IFERROR(INDEX('ENTRADA DATOS'!$J$4:$J$123,MATCH(LARGE('ENTRADA DATOS'!$L$4:$L$123,79),'ENTRADA DATOS'!$L$4:$L$123,0)),"")</f>
        <v/>
      </c>
      <c r="K82" s="3" t="str">
        <f>IFERROR(INDEX('ENTRADA DATOS'!$K$4:$K$123,MATCH(LARGE('ENTRADA DATOS'!$L$4:$L$123,79),'ENTRADA DATOS'!$L$4:$L$123,0)),"")</f>
        <v/>
      </c>
    </row>
    <row r="83" spans="1:11" x14ac:dyDescent="0.3">
      <c r="A83" s="4" t="str">
        <f>IF(I83="","",80)</f>
        <v/>
      </c>
      <c r="B83" s="5" t="str">
        <f>IFERROR(INDEX('ENTRADA DATOS'!$B$4:$B$123,MATCH(LARGE('ENTRADA DATOS'!$L$4:$L$123,80),'ENTRADA DATOS'!$L$4:$L$123,0)),"")</f>
        <v/>
      </c>
      <c r="C83" s="4" t="str">
        <f>IFERROR(INDEX('ENTRADA DATOS'!$C$4:$C$123,MATCH(LARGE('ENTRADA DATOS'!$L$4:$L$123,80),'ENTRADA DATOS'!$L$4:$L$123,0)),"")</f>
        <v/>
      </c>
      <c r="D83" s="4" t="str">
        <f>IFERROR(INDEX('ENTRADA DATOS'!$D$4:$D$123,MATCH(LARGE('ENTRADA DATOS'!$L$4:$L$123,80),'ENTRADA DATOS'!$L$4:$L$123,0)),"")</f>
        <v/>
      </c>
      <c r="E83" s="4" t="str">
        <f>IFERROR(INDEX('ENTRADA DATOS'!$E$4:$E$123,MATCH(LARGE('ENTRADA DATOS'!$L$4:$L$123,80),'ENTRADA DATOS'!$L$4:$L$123,0)),"")</f>
        <v/>
      </c>
      <c r="F83" s="4" t="str">
        <f>IFERROR(INDEX('ENTRADA DATOS'!$F$4:$F$123,MATCH(LARGE('ENTRADA DATOS'!$L$4:$L$123,80),'ENTRADA DATOS'!$L$4:$L$123,0)),"")</f>
        <v/>
      </c>
      <c r="G83" s="4" t="str">
        <f>IFERROR(INDEX('ENTRADA DATOS'!$G$4:$G$123,MATCH(LARGE('ENTRADA DATOS'!$L$4:$L$123,80),'ENTRADA DATOS'!$L$4:$L$123,0)),"")</f>
        <v/>
      </c>
      <c r="H83" s="4" t="str">
        <f>IFERROR(INDEX('ENTRADA DATOS'!$H$4:$H$123,MATCH(LARGE('ENTRADA DATOS'!$L$4:$L$123,80),'ENTRADA DATOS'!$L$4:$L$123,0)),"")</f>
        <v/>
      </c>
      <c r="I83" s="4" t="str">
        <f>IFERROR(INDEX('ENTRADA DATOS'!$I$4:$I$123,MATCH(LARGE('ENTRADA DATOS'!$L$4:$L$123,80),'ENTRADA DATOS'!$L$4:$L$123,0)),"")</f>
        <v/>
      </c>
      <c r="J83" s="5" t="str">
        <f>IFERROR(INDEX('ENTRADA DATOS'!$J$4:$J$123,MATCH(LARGE('ENTRADA DATOS'!$L$4:$L$123,80),'ENTRADA DATOS'!$L$4:$L$123,0)),"")</f>
        <v/>
      </c>
      <c r="K83" s="5" t="str">
        <f>IFERROR(INDEX('ENTRADA DATOS'!$K$4:$K$123,MATCH(LARGE('ENTRADA DATOS'!$L$4:$L$123,80),'ENTRADA DATOS'!$L$4:$L$123,0)),"")</f>
        <v/>
      </c>
    </row>
    <row r="84" spans="1:11" x14ac:dyDescent="0.3">
      <c r="A84" s="2" t="str">
        <f>IF(I84="","",81)</f>
        <v/>
      </c>
      <c r="B84" s="3" t="str">
        <f>IFERROR(INDEX('ENTRADA DATOS'!$B$4:$B$123,MATCH(LARGE('ENTRADA DATOS'!$L$4:$L$123,81),'ENTRADA DATOS'!$L$4:$L$123,0)),"")</f>
        <v/>
      </c>
      <c r="C84" s="2" t="str">
        <f>IFERROR(INDEX('ENTRADA DATOS'!$C$4:$C$123,MATCH(LARGE('ENTRADA DATOS'!$L$4:$L$123,81),'ENTRADA DATOS'!$L$4:$L$123,0)),"")</f>
        <v/>
      </c>
      <c r="D84" s="2" t="str">
        <f>IFERROR(INDEX('ENTRADA DATOS'!$D$4:$D$123,MATCH(LARGE('ENTRADA DATOS'!$L$4:$L$123,81),'ENTRADA DATOS'!$L$4:$L$123,0)),"")</f>
        <v/>
      </c>
      <c r="E84" s="2" t="str">
        <f>IFERROR(INDEX('ENTRADA DATOS'!$E$4:$E$123,MATCH(LARGE('ENTRADA DATOS'!$L$4:$L$123,81),'ENTRADA DATOS'!$L$4:$L$123,0)),"")</f>
        <v/>
      </c>
      <c r="F84" s="2" t="str">
        <f>IFERROR(INDEX('ENTRADA DATOS'!$F$4:$F$123,MATCH(LARGE('ENTRADA DATOS'!$L$4:$L$123,81),'ENTRADA DATOS'!$L$4:$L$123,0)),"")</f>
        <v/>
      </c>
      <c r="G84" s="2" t="str">
        <f>IFERROR(INDEX('ENTRADA DATOS'!$G$4:$G$123,MATCH(LARGE('ENTRADA DATOS'!$L$4:$L$123,81),'ENTRADA DATOS'!$L$4:$L$123,0)),"")</f>
        <v/>
      </c>
      <c r="H84" s="2" t="str">
        <f>IFERROR(INDEX('ENTRADA DATOS'!$H$4:$H$123,MATCH(LARGE('ENTRADA DATOS'!$L$4:$L$123,81),'ENTRADA DATOS'!$L$4:$L$123,0)),"")</f>
        <v/>
      </c>
      <c r="I84" s="2" t="str">
        <f>IFERROR(INDEX('ENTRADA DATOS'!$I$4:$I$123,MATCH(LARGE('ENTRADA DATOS'!$L$4:$L$123,81),'ENTRADA DATOS'!$L$4:$L$123,0)),"")</f>
        <v/>
      </c>
      <c r="J84" s="3" t="str">
        <f>IFERROR(INDEX('ENTRADA DATOS'!$J$4:$J$123,MATCH(LARGE('ENTRADA DATOS'!$L$4:$L$123,81),'ENTRADA DATOS'!$L$4:$L$123,0)),"")</f>
        <v/>
      </c>
      <c r="K84" s="3" t="str">
        <f>IFERROR(INDEX('ENTRADA DATOS'!$K$4:$K$123,MATCH(LARGE('ENTRADA DATOS'!$L$4:$L$123,81),'ENTRADA DATOS'!$L$4:$L$123,0)),"")</f>
        <v/>
      </c>
    </row>
    <row r="85" spans="1:11" x14ac:dyDescent="0.3">
      <c r="A85" s="4" t="str">
        <f>IF(I85="","",82)</f>
        <v/>
      </c>
      <c r="B85" s="5" t="str">
        <f>IFERROR(INDEX('ENTRADA DATOS'!$B$4:$B$123,MATCH(LARGE('ENTRADA DATOS'!$L$4:$L$123,82),'ENTRADA DATOS'!$L$4:$L$123,0)),"")</f>
        <v/>
      </c>
      <c r="C85" s="4" t="str">
        <f>IFERROR(INDEX('ENTRADA DATOS'!$C$4:$C$123,MATCH(LARGE('ENTRADA DATOS'!$L$4:$L$123,82),'ENTRADA DATOS'!$L$4:$L$123,0)),"")</f>
        <v/>
      </c>
      <c r="D85" s="4" t="str">
        <f>IFERROR(INDEX('ENTRADA DATOS'!$D$4:$D$123,MATCH(LARGE('ENTRADA DATOS'!$L$4:$L$123,82),'ENTRADA DATOS'!$L$4:$L$123,0)),"")</f>
        <v/>
      </c>
      <c r="E85" s="4" t="str">
        <f>IFERROR(INDEX('ENTRADA DATOS'!$E$4:$E$123,MATCH(LARGE('ENTRADA DATOS'!$L$4:$L$123,82),'ENTRADA DATOS'!$L$4:$L$123,0)),"")</f>
        <v/>
      </c>
      <c r="F85" s="4" t="str">
        <f>IFERROR(INDEX('ENTRADA DATOS'!$F$4:$F$123,MATCH(LARGE('ENTRADA DATOS'!$L$4:$L$123,82),'ENTRADA DATOS'!$L$4:$L$123,0)),"")</f>
        <v/>
      </c>
      <c r="G85" s="4" t="str">
        <f>IFERROR(INDEX('ENTRADA DATOS'!$G$4:$G$123,MATCH(LARGE('ENTRADA DATOS'!$L$4:$L$123,82),'ENTRADA DATOS'!$L$4:$L$123,0)),"")</f>
        <v/>
      </c>
      <c r="H85" s="4" t="str">
        <f>IFERROR(INDEX('ENTRADA DATOS'!$H$4:$H$123,MATCH(LARGE('ENTRADA DATOS'!$L$4:$L$123,82),'ENTRADA DATOS'!$L$4:$L$123,0)),"")</f>
        <v/>
      </c>
      <c r="I85" s="4" t="str">
        <f>IFERROR(INDEX('ENTRADA DATOS'!$I$4:$I$123,MATCH(LARGE('ENTRADA DATOS'!$L$4:$L$123,82),'ENTRADA DATOS'!$L$4:$L$123,0)),"")</f>
        <v/>
      </c>
      <c r="J85" s="5" t="str">
        <f>IFERROR(INDEX('ENTRADA DATOS'!$J$4:$J$123,MATCH(LARGE('ENTRADA DATOS'!$L$4:$L$123,82),'ENTRADA DATOS'!$L$4:$L$123,0)),"")</f>
        <v/>
      </c>
      <c r="K85" s="5" t="str">
        <f>IFERROR(INDEX('ENTRADA DATOS'!$K$4:$K$123,MATCH(LARGE('ENTRADA DATOS'!$L$4:$L$123,82),'ENTRADA DATOS'!$L$4:$L$123,0)),"")</f>
        <v/>
      </c>
    </row>
    <row r="86" spans="1:11" x14ac:dyDescent="0.3">
      <c r="A86" s="2" t="str">
        <f>IF(I86="","",83)</f>
        <v/>
      </c>
      <c r="B86" s="3" t="str">
        <f>IFERROR(INDEX('ENTRADA DATOS'!$B$4:$B$123,MATCH(LARGE('ENTRADA DATOS'!$L$4:$L$123,83),'ENTRADA DATOS'!$L$4:$L$123,0)),"")</f>
        <v/>
      </c>
      <c r="C86" s="2" t="str">
        <f>IFERROR(INDEX('ENTRADA DATOS'!$C$4:$C$123,MATCH(LARGE('ENTRADA DATOS'!$L$4:$L$123,83),'ENTRADA DATOS'!$L$4:$L$123,0)),"")</f>
        <v/>
      </c>
      <c r="D86" s="2" t="str">
        <f>IFERROR(INDEX('ENTRADA DATOS'!$D$4:$D$123,MATCH(LARGE('ENTRADA DATOS'!$L$4:$L$123,83),'ENTRADA DATOS'!$L$4:$L$123,0)),"")</f>
        <v/>
      </c>
      <c r="E86" s="2" t="str">
        <f>IFERROR(INDEX('ENTRADA DATOS'!$E$4:$E$123,MATCH(LARGE('ENTRADA DATOS'!$L$4:$L$123,83),'ENTRADA DATOS'!$L$4:$L$123,0)),"")</f>
        <v/>
      </c>
      <c r="F86" s="2" t="str">
        <f>IFERROR(INDEX('ENTRADA DATOS'!$F$4:$F$123,MATCH(LARGE('ENTRADA DATOS'!$L$4:$L$123,83),'ENTRADA DATOS'!$L$4:$L$123,0)),"")</f>
        <v/>
      </c>
      <c r="G86" s="2" t="str">
        <f>IFERROR(INDEX('ENTRADA DATOS'!$G$4:$G$123,MATCH(LARGE('ENTRADA DATOS'!$L$4:$L$123,83),'ENTRADA DATOS'!$L$4:$L$123,0)),"")</f>
        <v/>
      </c>
      <c r="H86" s="2" t="str">
        <f>IFERROR(INDEX('ENTRADA DATOS'!$H$4:$H$123,MATCH(LARGE('ENTRADA DATOS'!$L$4:$L$123,83),'ENTRADA DATOS'!$L$4:$L$123,0)),"")</f>
        <v/>
      </c>
      <c r="I86" s="2" t="str">
        <f>IFERROR(INDEX('ENTRADA DATOS'!$I$4:$I$123,MATCH(LARGE('ENTRADA DATOS'!$L$4:$L$123,83),'ENTRADA DATOS'!$L$4:$L$123,0)),"")</f>
        <v/>
      </c>
      <c r="J86" s="3" t="str">
        <f>IFERROR(INDEX('ENTRADA DATOS'!$J$4:$J$123,MATCH(LARGE('ENTRADA DATOS'!$L$4:$L$123,83),'ENTRADA DATOS'!$L$4:$L$123,0)),"")</f>
        <v/>
      </c>
      <c r="K86" s="3" t="str">
        <f>IFERROR(INDEX('ENTRADA DATOS'!$K$4:$K$123,MATCH(LARGE('ENTRADA DATOS'!$L$4:$L$123,83),'ENTRADA DATOS'!$L$4:$L$123,0)),"")</f>
        <v/>
      </c>
    </row>
    <row r="87" spans="1:11" x14ac:dyDescent="0.3">
      <c r="A87" s="4" t="str">
        <f>IF(I87="","",84)</f>
        <v/>
      </c>
      <c r="B87" s="5" t="str">
        <f>IFERROR(INDEX('ENTRADA DATOS'!$B$4:$B$123,MATCH(LARGE('ENTRADA DATOS'!$L$4:$L$123,84),'ENTRADA DATOS'!$L$4:$L$123,0)),"")</f>
        <v/>
      </c>
      <c r="C87" s="4" t="str">
        <f>IFERROR(INDEX('ENTRADA DATOS'!$C$4:$C$123,MATCH(LARGE('ENTRADA DATOS'!$L$4:$L$123,84),'ENTRADA DATOS'!$L$4:$L$123,0)),"")</f>
        <v/>
      </c>
      <c r="D87" s="4" t="str">
        <f>IFERROR(INDEX('ENTRADA DATOS'!$D$4:$D$123,MATCH(LARGE('ENTRADA DATOS'!$L$4:$L$123,84),'ENTRADA DATOS'!$L$4:$L$123,0)),"")</f>
        <v/>
      </c>
      <c r="E87" s="4" t="str">
        <f>IFERROR(INDEX('ENTRADA DATOS'!$E$4:$E$123,MATCH(LARGE('ENTRADA DATOS'!$L$4:$L$123,84),'ENTRADA DATOS'!$L$4:$L$123,0)),"")</f>
        <v/>
      </c>
      <c r="F87" s="4" t="str">
        <f>IFERROR(INDEX('ENTRADA DATOS'!$F$4:$F$123,MATCH(LARGE('ENTRADA DATOS'!$L$4:$L$123,84),'ENTRADA DATOS'!$L$4:$L$123,0)),"")</f>
        <v/>
      </c>
      <c r="G87" s="4" t="str">
        <f>IFERROR(INDEX('ENTRADA DATOS'!$G$4:$G$123,MATCH(LARGE('ENTRADA DATOS'!$L$4:$L$123,84),'ENTRADA DATOS'!$L$4:$L$123,0)),"")</f>
        <v/>
      </c>
      <c r="H87" s="4" t="str">
        <f>IFERROR(INDEX('ENTRADA DATOS'!$H$4:$H$123,MATCH(LARGE('ENTRADA DATOS'!$L$4:$L$123,84),'ENTRADA DATOS'!$L$4:$L$123,0)),"")</f>
        <v/>
      </c>
      <c r="I87" s="4" t="str">
        <f>IFERROR(INDEX('ENTRADA DATOS'!$I$4:$I$123,MATCH(LARGE('ENTRADA DATOS'!$L$4:$L$123,84),'ENTRADA DATOS'!$L$4:$L$123,0)),"")</f>
        <v/>
      </c>
      <c r="J87" s="5" t="str">
        <f>IFERROR(INDEX('ENTRADA DATOS'!$J$4:$J$123,MATCH(LARGE('ENTRADA DATOS'!$L$4:$L$123,84),'ENTRADA DATOS'!$L$4:$L$123,0)),"")</f>
        <v/>
      </c>
      <c r="K87" s="5" t="str">
        <f>IFERROR(INDEX('ENTRADA DATOS'!$K$4:$K$123,MATCH(LARGE('ENTRADA DATOS'!$L$4:$L$123,84),'ENTRADA DATOS'!$L$4:$L$123,0)),"")</f>
        <v/>
      </c>
    </row>
    <row r="88" spans="1:11" x14ac:dyDescent="0.3">
      <c r="A88" s="2" t="str">
        <f>IF(I88="","",85)</f>
        <v/>
      </c>
      <c r="B88" s="3" t="str">
        <f>IFERROR(INDEX('ENTRADA DATOS'!$B$4:$B$123,MATCH(LARGE('ENTRADA DATOS'!$L$4:$L$123,85),'ENTRADA DATOS'!$L$4:$L$123,0)),"")</f>
        <v/>
      </c>
      <c r="C88" s="2" t="str">
        <f>IFERROR(INDEX('ENTRADA DATOS'!$C$4:$C$123,MATCH(LARGE('ENTRADA DATOS'!$L$4:$L$123,85),'ENTRADA DATOS'!$L$4:$L$123,0)),"")</f>
        <v/>
      </c>
      <c r="D88" s="2" t="str">
        <f>IFERROR(INDEX('ENTRADA DATOS'!$D$4:$D$123,MATCH(LARGE('ENTRADA DATOS'!$L$4:$L$123,85),'ENTRADA DATOS'!$L$4:$L$123,0)),"")</f>
        <v/>
      </c>
      <c r="E88" s="2" t="str">
        <f>IFERROR(INDEX('ENTRADA DATOS'!$E$4:$E$123,MATCH(LARGE('ENTRADA DATOS'!$L$4:$L$123,85),'ENTRADA DATOS'!$L$4:$L$123,0)),"")</f>
        <v/>
      </c>
      <c r="F88" s="2" t="str">
        <f>IFERROR(INDEX('ENTRADA DATOS'!$F$4:$F$123,MATCH(LARGE('ENTRADA DATOS'!$L$4:$L$123,85),'ENTRADA DATOS'!$L$4:$L$123,0)),"")</f>
        <v/>
      </c>
      <c r="G88" s="2" t="str">
        <f>IFERROR(INDEX('ENTRADA DATOS'!$G$4:$G$123,MATCH(LARGE('ENTRADA DATOS'!$L$4:$L$123,85),'ENTRADA DATOS'!$L$4:$L$123,0)),"")</f>
        <v/>
      </c>
      <c r="H88" s="2" t="str">
        <f>IFERROR(INDEX('ENTRADA DATOS'!$H$4:$H$123,MATCH(LARGE('ENTRADA DATOS'!$L$4:$L$123,85),'ENTRADA DATOS'!$L$4:$L$123,0)),"")</f>
        <v/>
      </c>
      <c r="I88" s="2" t="str">
        <f>IFERROR(INDEX('ENTRADA DATOS'!$I$4:$I$123,MATCH(LARGE('ENTRADA DATOS'!$L$4:$L$123,85),'ENTRADA DATOS'!$L$4:$L$123,0)),"")</f>
        <v/>
      </c>
      <c r="J88" s="3" t="str">
        <f>IFERROR(INDEX('ENTRADA DATOS'!$J$4:$J$123,MATCH(LARGE('ENTRADA DATOS'!$L$4:$L$123,85),'ENTRADA DATOS'!$L$4:$L$123,0)),"")</f>
        <v/>
      </c>
      <c r="K88" s="3" t="str">
        <f>IFERROR(INDEX('ENTRADA DATOS'!$K$4:$K$123,MATCH(LARGE('ENTRADA DATOS'!$L$4:$L$123,85),'ENTRADA DATOS'!$L$4:$L$123,0)),"")</f>
        <v/>
      </c>
    </row>
    <row r="89" spans="1:11" x14ac:dyDescent="0.3">
      <c r="A89" s="4" t="str">
        <f>IF(I89="","",86)</f>
        <v/>
      </c>
      <c r="B89" s="5" t="str">
        <f>IFERROR(INDEX('ENTRADA DATOS'!$B$4:$B$123,MATCH(LARGE('ENTRADA DATOS'!$L$4:$L$123,86),'ENTRADA DATOS'!$L$4:$L$123,0)),"")</f>
        <v/>
      </c>
      <c r="C89" s="4" t="str">
        <f>IFERROR(INDEX('ENTRADA DATOS'!$C$4:$C$123,MATCH(LARGE('ENTRADA DATOS'!$L$4:$L$123,86),'ENTRADA DATOS'!$L$4:$L$123,0)),"")</f>
        <v/>
      </c>
      <c r="D89" s="4" t="str">
        <f>IFERROR(INDEX('ENTRADA DATOS'!$D$4:$D$123,MATCH(LARGE('ENTRADA DATOS'!$L$4:$L$123,86),'ENTRADA DATOS'!$L$4:$L$123,0)),"")</f>
        <v/>
      </c>
      <c r="E89" s="4" t="str">
        <f>IFERROR(INDEX('ENTRADA DATOS'!$E$4:$E$123,MATCH(LARGE('ENTRADA DATOS'!$L$4:$L$123,86),'ENTRADA DATOS'!$L$4:$L$123,0)),"")</f>
        <v/>
      </c>
      <c r="F89" s="4" t="str">
        <f>IFERROR(INDEX('ENTRADA DATOS'!$F$4:$F$123,MATCH(LARGE('ENTRADA DATOS'!$L$4:$L$123,86),'ENTRADA DATOS'!$L$4:$L$123,0)),"")</f>
        <v/>
      </c>
      <c r="G89" s="4" t="str">
        <f>IFERROR(INDEX('ENTRADA DATOS'!$G$4:$G$123,MATCH(LARGE('ENTRADA DATOS'!$L$4:$L$123,86),'ENTRADA DATOS'!$L$4:$L$123,0)),"")</f>
        <v/>
      </c>
      <c r="H89" s="4" t="str">
        <f>IFERROR(INDEX('ENTRADA DATOS'!$H$4:$H$123,MATCH(LARGE('ENTRADA DATOS'!$L$4:$L$123,86),'ENTRADA DATOS'!$L$4:$L$123,0)),"")</f>
        <v/>
      </c>
      <c r="I89" s="4" t="str">
        <f>IFERROR(INDEX('ENTRADA DATOS'!$I$4:$I$123,MATCH(LARGE('ENTRADA DATOS'!$L$4:$L$123,86),'ENTRADA DATOS'!$L$4:$L$123,0)),"")</f>
        <v/>
      </c>
      <c r="J89" s="5" t="str">
        <f>IFERROR(INDEX('ENTRADA DATOS'!$J$4:$J$123,MATCH(LARGE('ENTRADA DATOS'!$L$4:$L$123,86),'ENTRADA DATOS'!$L$4:$L$123,0)),"")</f>
        <v/>
      </c>
      <c r="K89" s="5" t="str">
        <f>IFERROR(INDEX('ENTRADA DATOS'!$K$4:$K$123,MATCH(LARGE('ENTRADA DATOS'!$L$4:$L$123,86),'ENTRADA DATOS'!$L$4:$L$123,0)),"")</f>
        <v/>
      </c>
    </row>
    <row r="90" spans="1:11" x14ac:dyDescent="0.3">
      <c r="A90" s="2" t="str">
        <f>IF(I90="","",87)</f>
        <v/>
      </c>
      <c r="B90" s="3" t="str">
        <f>IFERROR(INDEX('ENTRADA DATOS'!$B$4:$B$123,MATCH(LARGE('ENTRADA DATOS'!$L$4:$L$123,87),'ENTRADA DATOS'!$L$4:$L$123,0)),"")</f>
        <v/>
      </c>
      <c r="C90" s="2" t="str">
        <f>IFERROR(INDEX('ENTRADA DATOS'!$C$4:$C$123,MATCH(LARGE('ENTRADA DATOS'!$L$4:$L$123,87),'ENTRADA DATOS'!$L$4:$L$123,0)),"")</f>
        <v/>
      </c>
      <c r="D90" s="2" t="str">
        <f>IFERROR(INDEX('ENTRADA DATOS'!$D$4:$D$123,MATCH(LARGE('ENTRADA DATOS'!$L$4:$L$123,87),'ENTRADA DATOS'!$L$4:$L$123,0)),"")</f>
        <v/>
      </c>
      <c r="E90" s="2" t="str">
        <f>IFERROR(INDEX('ENTRADA DATOS'!$E$4:$E$123,MATCH(LARGE('ENTRADA DATOS'!$L$4:$L$123,87),'ENTRADA DATOS'!$L$4:$L$123,0)),"")</f>
        <v/>
      </c>
      <c r="F90" s="2" t="str">
        <f>IFERROR(INDEX('ENTRADA DATOS'!$F$4:$F$123,MATCH(LARGE('ENTRADA DATOS'!$L$4:$L$123,87),'ENTRADA DATOS'!$L$4:$L$123,0)),"")</f>
        <v/>
      </c>
      <c r="G90" s="2" t="str">
        <f>IFERROR(INDEX('ENTRADA DATOS'!$G$4:$G$123,MATCH(LARGE('ENTRADA DATOS'!$L$4:$L$123,87),'ENTRADA DATOS'!$L$4:$L$123,0)),"")</f>
        <v/>
      </c>
      <c r="H90" s="2" t="str">
        <f>IFERROR(INDEX('ENTRADA DATOS'!$H$4:$H$123,MATCH(LARGE('ENTRADA DATOS'!$L$4:$L$123,87),'ENTRADA DATOS'!$L$4:$L$123,0)),"")</f>
        <v/>
      </c>
      <c r="I90" s="2" t="str">
        <f>IFERROR(INDEX('ENTRADA DATOS'!$I$4:$I$123,MATCH(LARGE('ENTRADA DATOS'!$L$4:$L$123,87),'ENTRADA DATOS'!$L$4:$L$123,0)),"")</f>
        <v/>
      </c>
      <c r="J90" s="3" t="str">
        <f>IFERROR(INDEX('ENTRADA DATOS'!$J$4:$J$123,MATCH(LARGE('ENTRADA DATOS'!$L$4:$L$123,87),'ENTRADA DATOS'!$L$4:$L$123,0)),"")</f>
        <v/>
      </c>
      <c r="K90" s="3" t="str">
        <f>IFERROR(INDEX('ENTRADA DATOS'!$K$4:$K$123,MATCH(LARGE('ENTRADA DATOS'!$L$4:$L$123,87),'ENTRADA DATOS'!$L$4:$L$123,0)),"")</f>
        <v/>
      </c>
    </row>
    <row r="91" spans="1:11" x14ac:dyDescent="0.3">
      <c r="A91" s="4" t="str">
        <f>IF(I91="","",88)</f>
        <v/>
      </c>
      <c r="B91" s="5" t="str">
        <f>IFERROR(INDEX('ENTRADA DATOS'!$B$4:$B$123,MATCH(LARGE('ENTRADA DATOS'!$L$4:$L$123,88),'ENTRADA DATOS'!$L$4:$L$123,0)),"")</f>
        <v/>
      </c>
      <c r="C91" s="4" t="str">
        <f>IFERROR(INDEX('ENTRADA DATOS'!$C$4:$C$123,MATCH(LARGE('ENTRADA DATOS'!$L$4:$L$123,88),'ENTRADA DATOS'!$L$4:$L$123,0)),"")</f>
        <v/>
      </c>
      <c r="D91" s="4" t="str">
        <f>IFERROR(INDEX('ENTRADA DATOS'!$D$4:$D$123,MATCH(LARGE('ENTRADA DATOS'!$L$4:$L$123,88),'ENTRADA DATOS'!$L$4:$L$123,0)),"")</f>
        <v/>
      </c>
      <c r="E91" s="4" t="str">
        <f>IFERROR(INDEX('ENTRADA DATOS'!$E$4:$E$123,MATCH(LARGE('ENTRADA DATOS'!$L$4:$L$123,88),'ENTRADA DATOS'!$L$4:$L$123,0)),"")</f>
        <v/>
      </c>
      <c r="F91" s="4" t="str">
        <f>IFERROR(INDEX('ENTRADA DATOS'!$F$4:$F$123,MATCH(LARGE('ENTRADA DATOS'!$L$4:$L$123,88),'ENTRADA DATOS'!$L$4:$L$123,0)),"")</f>
        <v/>
      </c>
      <c r="G91" s="4" t="str">
        <f>IFERROR(INDEX('ENTRADA DATOS'!$G$4:$G$123,MATCH(LARGE('ENTRADA DATOS'!$L$4:$L$123,88),'ENTRADA DATOS'!$L$4:$L$123,0)),"")</f>
        <v/>
      </c>
      <c r="H91" s="4" t="str">
        <f>IFERROR(INDEX('ENTRADA DATOS'!$H$4:$H$123,MATCH(LARGE('ENTRADA DATOS'!$L$4:$L$123,88),'ENTRADA DATOS'!$L$4:$L$123,0)),"")</f>
        <v/>
      </c>
      <c r="I91" s="4" t="str">
        <f>IFERROR(INDEX('ENTRADA DATOS'!$I$4:$I$123,MATCH(LARGE('ENTRADA DATOS'!$L$4:$L$123,88),'ENTRADA DATOS'!$L$4:$L$123,0)),"")</f>
        <v/>
      </c>
      <c r="J91" s="5" t="str">
        <f>IFERROR(INDEX('ENTRADA DATOS'!$J$4:$J$123,MATCH(LARGE('ENTRADA DATOS'!$L$4:$L$123,88),'ENTRADA DATOS'!$L$4:$L$123,0)),"")</f>
        <v/>
      </c>
      <c r="K91" s="5" t="str">
        <f>IFERROR(INDEX('ENTRADA DATOS'!$K$4:$K$123,MATCH(LARGE('ENTRADA DATOS'!$L$4:$L$123,88),'ENTRADA DATOS'!$L$4:$L$123,0)),"")</f>
        <v/>
      </c>
    </row>
    <row r="92" spans="1:11" x14ac:dyDescent="0.3">
      <c r="A92" s="2" t="str">
        <f>IF(I92="","",89)</f>
        <v/>
      </c>
      <c r="B92" s="3" t="str">
        <f>IFERROR(INDEX('ENTRADA DATOS'!$B$4:$B$123,MATCH(LARGE('ENTRADA DATOS'!$L$4:$L$123,89),'ENTRADA DATOS'!$L$4:$L$123,0)),"")</f>
        <v/>
      </c>
      <c r="C92" s="2" t="str">
        <f>IFERROR(INDEX('ENTRADA DATOS'!$C$4:$C$123,MATCH(LARGE('ENTRADA DATOS'!$L$4:$L$123,89),'ENTRADA DATOS'!$L$4:$L$123,0)),"")</f>
        <v/>
      </c>
      <c r="D92" s="2" t="str">
        <f>IFERROR(INDEX('ENTRADA DATOS'!$D$4:$D$123,MATCH(LARGE('ENTRADA DATOS'!$L$4:$L$123,89),'ENTRADA DATOS'!$L$4:$L$123,0)),"")</f>
        <v/>
      </c>
      <c r="E92" s="2" t="str">
        <f>IFERROR(INDEX('ENTRADA DATOS'!$E$4:$E$123,MATCH(LARGE('ENTRADA DATOS'!$L$4:$L$123,89),'ENTRADA DATOS'!$L$4:$L$123,0)),"")</f>
        <v/>
      </c>
      <c r="F92" s="2" t="str">
        <f>IFERROR(INDEX('ENTRADA DATOS'!$F$4:$F$123,MATCH(LARGE('ENTRADA DATOS'!$L$4:$L$123,89),'ENTRADA DATOS'!$L$4:$L$123,0)),"")</f>
        <v/>
      </c>
      <c r="G92" s="2" t="str">
        <f>IFERROR(INDEX('ENTRADA DATOS'!$G$4:$G$123,MATCH(LARGE('ENTRADA DATOS'!$L$4:$L$123,89),'ENTRADA DATOS'!$L$4:$L$123,0)),"")</f>
        <v/>
      </c>
      <c r="H92" s="2" t="str">
        <f>IFERROR(INDEX('ENTRADA DATOS'!$H$4:$H$123,MATCH(LARGE('ENTRADA DATOS'!$L$4:$L$123,89),'ENTRADA DATOS'!$L$4:$L$123,0)),"")</f>
        <v/>
      </c>
      <c r="I92" s="2" t="str">
        <f>IFERROR(INDEX('ENTRADA DATOS'!$I$4:$I$123,MATCH(LARGE('ENTRADA DATOS'!$L$4:$L$123,89),'ENTRADA DATOS'!$L$4:$L$123,0)),"")</f>
        <v/>
      </c>
      <c r="J92" s="3" t="str">
        <f>IFERROR(INDEX('ENTRADA DATOS'!$J$4:$J$123,MATCH(LARGE('ENTRADA DATOS'!$L$4:$L$123,89),'ENTRADA DATOS'!$L$4:$L$123,0)),"")</f>
        <v/>
      </c>
      <c r="K92" s="3" t="str">
        <f>IFERROR(INDEX('ENTRADA DATOS'!$K$4:$K$123,MATCH(LARGE('ENTRADA DATOS'!$L$4:$L$123,89),'ENTRADA DATOS'!$L$4:$L$123,0)),"")</f>
        <v/>
      </c>
    </row>
    <row r="93" spans="1:11" x14ac:dyDescent="0.3">
      <c r="A93" s="4" t="str">
        <f>IF(I93="","",90)</f>
        <v/>
      </c>
      <c r="B93" s="5" t="str">
        <f>IFERROR(INDEX('ENTRADA DATOS'!$B$4:$B$123,MATCH(LARGE('ENTRADA DATOS'!$L$4:$L$123,90),'ENTRADA DATOS'!$L$4:$L$123,0)),"")</f>
        <v/>
      </c>
      <c r="C93" s="4" t="str">
        <f>IFERROR(INDEX('ENTRADA DATOS'!$C$4:$C$123,MATCH(LARGE('ENTRADA DATOS'!$L$4:$L$123,90),'ENTRADA DATOS'!$L$4:$L$123,0)),"")</f>
        <v/>
      </c>
      <c r="D93" s="4" t="str">
        <f>IFERROR(INDEX('ENTRADA DATOS'!$D$4:$D$123,MATCH(LARGE('ENTRADA DATOS'!$L$4:$L$123,90),'ENTRADA DATOS'!$L$4:$L$123,0)),"")</f>
        <v/>
      </c>
      <c r="E93" s="4" t="str">
        <f>IFERROR(INDEX('ENTRADA DATOS'!$E$4:$E$123,MATCH(LARGE('ENTRADA DATOS'!$L$4:$L$123,90),'ENTRADA DATOS'!$L$4:$L$123,0)),"")</f>
        <v/>
      </c>
      <c r="F93" s="4" t="str">
        <f>IFERROR(INDEX('ENTRADA DATOS'!$F$4:$F$123,MATCH(LARGE('ENTRADA DATOS'!$L$4:$L$123,90),'ENTRADA DATOS'!$L$4:$L$123,0)),"")</f>
        <v/>
      </c>
      <c r="G93" s="4" t="str">
        <f>IFERROR(INDEX('ENTRADA DATOS'!$G$4:$G$123,MATCH(LARGE('ENTRADA DATOS'!$L$4:$L$123,90),'ENTRADA DATOS'!$L$4:$L$123,0)),"")</f>
        <v/>
      </c>
      <c r="H93" s="4" t="str">
        <f>IFERROR(INDEX('ENTRADA DATOS'!$H$4:$H$123,MATCH(LARGE('ENTRADA DATOS'!$L$4:$L$123,90),'ENTRADA DATOS'!$L$4:$L$123,0)),"")</f>
        <v/>
      </c>
      <c r="I93" s="4" t="str">
        <f>IFERROR(INDEX('ENTRADA DATOS'!$I$4:$I$123,MATCH(LARGE('ENTRADA DATOS'!$L$4:$L$123,90),'ENTRADA DATOS'!$L$4:$L$123,0)),"")</f>
        <v/>
      </c>
      <c r="J93" s="5" t="str">
        <f>IFERROR(INDEX('ENTRADA DATOS'!$J$4:$J$123,MATCH(LARGE('ENTRADA DATOS'!$L$4:$L$123,90),'ENTRADA DATOS'!$L$4:$L$123,0)),"")</f>
        <v/>
      </c>
      <c r="K93" s="5" t="str">
        <f>IFERROR(INDEX('ENTRADA DATOS'!$K$4:$K$123,MATCH(LARGE('ENTRADA DATOS'!$L$4:$L$123,90),'ENTRADA DATOS'!$L$4:$L$123,0)),"")</f>
        <v/>
      </c>
    </row>
    <row r="94" spans="1:11" x14ac:dyDescent="0.3">
      <c r="A94" s="2" t="str">
        <f>IF(I94="","",91)</f>
        <v/>
      </c>
      <c r="B94" s="3" t="str">
        <f>IFERROR(INDEX('ENTRADA DATOS'!$B$4:$B$123,MATCH(LARGE('ENTRADA DATOS'!$L$4:$L$123,91),'ENTRADA DATOS'!$L$4:$L$123,0)),"")</f>
        <v/>
      </c>
      <c r="C94" s="2" t="str">
        <f>IFERROR(INDEX('ENTRADA DATOS'!$C$4:$C$123,MATCH(LARGE('ENTRADA DATOS'!$L$4:$L$123,91),'ENTRADA DATOS'!$L$4:$L$123,0)),"")</f>
        <v/>
      </c>
      <c r="D94" s="2" t="str">
        <f>IFERROR(INDEX('ENTRADA DATOS'!$D$4:$D$123,MATCH(LARGE('ENTRADA DATOS'!$L$4:$L$123,91),'ENTRADA DATOS'!$L$4:$L$123,0)),"")</f>
        <v/>
      </c>
      <c r="E94" s="2" t="str">
        <f>IFERROR(INDEX('ENTRADA DATOS'!$E$4:$E$123,MATCH(LARGE('ENTRADA DATOS'!$L$4:$L$123,91),'ENTRADA DATOS'!$L$4:$L$123,0)),"")</f>
        <v/>
      </c>
      <c r="F94" s="2" t="str">
        <f>IFERROR(INDEX('ENTRADA DATOS'!$F$4:$F$123,MATCH(LARGE('ENTRADA DATOS'!$L$4:$L$123,91),'ENTRADA DATOS'!$L$4:$L$123,0)),"")</f>
        <v/>
      </c>
      <c r="G94" s="2" t="str">
        <f>IFERROR(INDEX('ENTRADA DATOS'!$G$4:$G$123,MATCH(LARGE('ENTRADA DATOS'!$L$4:$L$123,91),'ENTRADA DATOS'!$L$4:$L$123,0)),"")</f>
        <v/>
      </c>
      <c r="H94" s="2" t="str">
        <f>IFERROR(INDEX('ENTRADA DATOS'!$H$4:$H$123,MATCH(LARGE('ENTRADA DATOS'!$L$4:$L$123,91),'ENTRADA DATOS'!$L$4:$L$123,0)),"")</f>
        <v/>
      </c>
      <c r="I94" s="2" t="str">
        <f>IFERROR(INDEX('ENTRADA DATOS'!$I$4:$I$123,MATCH(LARGE('ENTRADA DATOS'!$L$4:$L$123,91),'ENTRADA DATOS'!$L$4:$L$123,0)),"")</f>
        <v/>
      </c>
      <c r="J94" s="3" t="str">
        <f>IFERROR(INDEX('ENTRADA DATOS'!$J$4:$J$123,MATCH(LARGE('ENTRADA DATOS'!$L$4:$L$123,91),'ENTRADA DATOS'!$L$4:$L$123,0)),"")</f>
        <v/>
      </c>
      <c r="K94" s="3" t="str">
        <f>IFERROR(INDEX('ENTRADA DATOS'!$K$4:$K$123,MATCH(LARGE('ENTRADA DATOS'!$L$4:$L$123,91),'ENTRADA DATOS'!$L$4:$L$123,0)),"")</f>
        <v/>
      </c>
    </row>
    <row r="95" spans="1:11" x14ac:dyDescent="0.3">
      <c r="A95" s="4" t="str">
        <f>IF(I95="","",92)</f>
        <v/>
      </c>
      <c r="B95" s="5" t="str">
        <f>IFERROR(INDEX('ENTRADA DATOS'!$B$4:$B$123,MATCH(LARGE('ENTRADA DATOS'!$L$4:$L$123,92),'ENTRADA DATOS'!$L$4:$L$123,0)),"")</f>
        <v/>
      </c>
      <c r="C95" s="4" t="str">
        <f>IFERROR(INDEX('ENTRADA DATOS'!$C$4:$C$123,MATCH(LARGE('ENTRADA DATOS'!$L$4:$L$123,92),'ENTRADA DATOS'!$L$4:$L$123,0)),"")</f>
        <v/>
      </c>
      <c r="D95" s="4" t="str">
        <f>IFERROR(INDEX('ENTRADA DATOS'!$D$4:$D$123,MATCH(LARGE('ENTRADA DATOS'!$L$4:$L$123,92),'ENTRADA DATOS'!$L$4:$L$123,0)),"")</f>
        <v/>
      </c>
      <c r="E95" s="4" t="str">
        <f>IFERROR(INDEX('ENTRADA DATOS'!$E$4:$E$123,MATCH(LARGE('ENTRADA DATOS'!$L$4:$L$123,92),'ENTRADA DATOS'!$L$4:$L$123,0)),"")</f>
        <v/>
      </c>
      <c r="F95" s="4" t="str">
        <f>IFERROR(INDEX('ENTRADA DATOS'!$F$4:$F$123,MATCH(LARGE('ENTRADA DATOS'!$L$4:$L$123,92),'ENTRADA DATOS'!$L$4:$L$123,0)),"")</f>
        <v/>
      </c>
      <c r="G95" s="4" t="str">
        <f>IFERROR(INDEX('ENTRADA DATOS'!$G$4:$G$123,MATCH(LARGE('ENTRADA DATOS'!$L$4:$L$123,92),'ENTRADA DATOS'!$L$4:$L$123,0)),"")</f>
        <v/>
      </c>
      <c r="H95" s="4" t="str">
        <f>IFERROR(INDEX('ENTRADA DATOS'!$H$4:$H$123,MATCH(LARGE('ENTRADA DATOS'!$L$4:$L$123,92),'ENTRADA DATOS'!$L$4:$L$123,0)),"")</f>
        <v/>
      </c>
      <c r="I95" s="4" t="str">
        <f>IFERROR(INDEX('ENTRADA DATOS'!$I$4:$I$123,MATCH(LARGE('ENTRADA DATOS'!$L$4:$L$123,92),'ENTRADA DATOS'!$L$4:$L$123,0)),"")</f>
        <v/>
      </c>
      <c r="J95" s="5" t="str">
        <f>IFERROR(INDEX('ENTRADA DATOS'!$J$4:$J$123,MATCH(LARGE('ENTRADA DATOS'!$L$4:$L$123,92),'ENTRADA DATOS'!$L$4:$L$123,0)),"")</f>
        <v/>
      </c>
      <c r="K95" s="5" t="str">
        <f>IFERROR(INDEX('ENTRADA DATOS'!$K$4:$K$123,MATCH(LARGE('ENTRADA DATOS'!$L$4:$L$123,92),'ENTRADA DATOS'!$L$4:$L$123,0)),"")</f>
        <v/>
      </c>
    </row>
    <row r="96" spans="1:11" x14ac:dyDescent="0.3">
      <c r="A96" s="2" t="str">
        <f>IF(I96="","",93)</f>
        <v/>
      </c>
      <c r="B96" s="3" t="str">
        <f>IFERROR(INDEX('ENTRADA DATOS'!$B$4:$B$123,MATCH(LARGE('ENTRADA DATOS'!$L$4:$L$123,93),'ENTRADA DATOS'!$L$4:$L$123,0)),"")</f>
        <v/>
      </c>
      <c r="C96" s="2" t="str">
        <f>IFERROR(INDEX('ENTRADA DATOS'!$C$4:$C$123,MATCH(LARGE('ENTRADA DATOS'!$L$4:$L$123,93),'ENTRADA DATOS'!$L$4:$L$123,0)),"")</f>
        <v/>
      </c>
      <c r="D96" s="2" t="str">
        <f>IFERROR(INDEX('ENTRADA DATOS'!$D$4:$D$123,MATCH(LARGE('ENTRADA DATOS'!$L$4:$L$123,93),'ENTRADA DATOS'!$L$4:$L$123,0)),"")</f>
        <v/>
      </c>
      <c r="E96" s="2" t="str">
        <f>IFERROR(INDEX('ENTRADA DATOS'!$E$4:$E$123,MATCH(LARGE('ENTRADA DATOS'!$L$4:$L$123,93),'ENTRADA DATOS'!$L$4:$L$123,0)),"")</f>
        <v/>
      </c>
      <c r="F96" s="2" t="str">
        <f>IFERROR(INDEX('ENTRADA DATOS'!$F$4:$F$123,MATCH(LARGE('ENTRADA DATOS'!$L$4:$L$123,93),'ENTRADA DATOS'!$L$4:$L$123,0)),"")</f>
        <v/>
      </c>
      <c r="G96" s="2" t="str">
        <f>IFERROR(INDEX('ENTRADA DATOS'!$G$4:$G$123,MATCH(LARGE('ENTRADA DATOS'!$L$4:$L$123,93),'ENTRADA DATOS'!$L$4:$L$123,0)),"")</f>
        <v/>
      </c>
      <c r="H96" s="2" t="str">
        <f>IFERROR(INDEX('ENTRADA DATOS'!$H$4:$H$123,MATCH(LARGE('ENTRADA DATOS'!$L$4:$L$123,93),'ENTRADA DATOS'!$L$4:$L$123,0)),"")</f>
        <v/>
      </c>
      <c r="I96" s="2" t="str">
        <f>IFERROR(INDEX('ENTRADA DATOS'!$I$4:$I$123,MATCH(LARGE('ENTRADA DATOS'!$L$4:$L$123,93),'ENTRADA DATOS'!$L$4:$L$123,0)),"")</f>
        <v/>
      </c>
      <c r="J96" s="3" t="str">
        <f>IFERROR(INDEX('ENTRADA DATOS'!$J$4:$J$123,MATCH(LARGE('ENTRADA DATOS'!$L$4:$L$123,93),'ENTRADA DATOS'!$L$4:$L$123,0)),"")</f>
        <v/>
      </c>
      <c r="K96" s="3" t="str">
        <f>IFERROR(INDEX('ENTRADA DATOS'!$K$4:$K$123,MATCH(LARGE('ENTRADA DATOS'!$L$4:$L$123,93),'ENTRADA DATOS'!$L$4:$L$123,0)),"")</f>
        <v/>
      </c>
    </row>
    <row r="97" spans="1:11" x14ac:dyDescent="0.3">
      <c r="A97" s="4" t="str">
        <f>IF(I97="","",94)</f>
        <v/>
      </c>
      <c r="B97" s="5" t="str">
        <f>IFERROR(INDEX('ENTRADA DATOS'!$B$4:$B$123,MATCH(LARGE('ENTRADA DATOS'!$L$4:$L$123,94),'ENTRADA DATOS'!$L$4:$L$123,0)),"")</f>
        <v/>
      </c>
      <c r="C97" s="4" t="str">
        <f>IFERROR(INDEX('ENTRADA DATOS'!$C$4:$C$123,MATCH(LARGE('ENTRADA DATOS'!$L$4:$L$123,94),'ENTRADA DATOS'!$L$4:$L$123,0)),"")</f>
        <v/>
      </c>
      <c r="D97" s="4" t="str">
        <f>IFERROR(INDEX('ENTRADA DATOS'!$D$4:$D$123,MATCH(LARGE('ENTRADA DATOS'!$L$4:$L$123,94),'ENTRADA DATOS'!$L$4:$L$123,0)),"")</f>
        <v/>
      </c>
      <c r="E97" s="4" t="str">
        <f>IFERROR(INDEX('ENTRADA DATOS'!$E$4:$E$123,MATCH(LARGE('ENTRADA DATOS'!$L$4:$L$123,94),'ENTRADA DATOS'!$L$4:$L$123,0)),"")</f>
        <v/>
      </c>
      <c r="F97" s="4" t="str">
        <f>IFERROR(INDEX('ENTRADA DATOS'!$F$4:$F$123,MATCH(LARGE('ENTRADA DATOS'!$L$4:$L$123,94),'ENTRADA DATOS'!$L$4:$L$123,0)),"")</f>
        <v/>
      </c>
      <c r="G97" s="4" t="str">
        <f>IFERROR(INDEX('ENTRADA DATOS'!$G$4:$G$123,MATCH(LARGE('ENTRADA DATOS'!$L$4:$L$123,94),'ENTRADA DATOS'!$L$4:$L$123,0)),"")</f>
        <v/>
      </c>
      <c r="H97" s="4" t="str">
        <f>IFERROR(INDEX('ENTRADA DATOS'!$H$4:$H$123,MATCH(LARGE('ENTRADA DATOS'!$L$4:$L$123,94),'ENTRADA DATOS'!$L$4:$L$123,0)),"")</f>
        <v/>
      </c>
      <c r="I97" s="4" t="str">
        <f>IFERROR(INDEX('ENTRADA DATOS'!$I$4:$I$123,MATCH(LARGE('ENTRADA DATOS'!$L$4:$L$123,94),'ENTRADA DATOS'!$L$4:$L$123,0)),"")</f>
        <v/>
      </c>
      <c r="J97" s="5" t="str">
        <f>IFERROR(INDEX('ENTRADA DATOS'!$J$4:$J$123,MATCH(LARGE('ENTRADA DATOS'!$L$4:$L$123,94),'ENTRADA DATOS'!$L$4:$L$123,0)),"")</f>
        <v/>
      </c>
      <c r="K97" s="5" t="str">
        <f>IFERROR(INDEX('ENTRADA DATOS'!$K$4:$K$123,MATCH(LARGE('ENTRADA DATOS'!$L$4:$L$123,94),'ENTRADA DATOS'!$L$4:$L$123,0)),"")</f>
        <v/>
      </c>
    </row>
    <row r="98" spans="1:11" x14ac:dyDescent="0.3">
      <c r="A98" s="2" t="str">
        <f>IF(I98="","",95)</f>
        <v/>
      </c>
      <c r="B98" s="3" t="str">
        <f>IFERROR(INDEX('ENTRADA DATOS'!$B$4:$B$123,MATCH(LARGE('ENTRADA DATOS'!$L$4:$L$123,95),'ENTRADA DATOS'!$L$4:$L$123,0)),"")</f>
        <v/>
      </c>
      <c r="C98" s="2" t="str">
        <f>IFERROR(INDEX('ENTRADA DATOS'!$C$4:$C$123,MATCH(LARGE('ENTRADA DATOS'!$L$4:$L$123,95),'ENTRADA DATOS'!$L$4:$L$123,0)),"")</f>
        <v/>
      </c>
      <c r="D98" s="2" t="str">
        <f>IFERROR(INDEX('ENTRADA DATOS'!$D$4:$D$123,MATCH(LARGE('ENTRADA DATOS'!$L$4:$L$123,95),'ENTRADA DATOS'!$L$4:$L$123,0)),"")</f>
        <v/>
      </c>
      <c r="E98" s="2" t="str">
        <f>IFERROR(INDEX('ENTRADA DATOS'!$E$4:$E$123,MATCH(LARGE('ENTRADA DATOS'!$L$4:$L$123,95),'ENTRADA DATOS'!$L$4:$L$123,0)),"")</f>
        <v/>
      </c>
      <c r="F98" s="2" t="str">
        <f>IFERROR(INDEX('ENTRADA DATOS'!$F$4:$F$123,MATCH(LARGE('ENTRADA DATOS'!$L$4:$L$123,95),'ENTRADA DATOS'!$L$4:$L$123,0)),"")</f>
        <v/>
      </c>
      <c r="G98" s="2" t="str">
        <f>IFERROR(INDEX('ENTRADA DATOS'!$G$4:$G$123,MATCH(LARGE('ENTRADA DATOS'!$L$4:$L$123,95),'ENTRADA DATOS'!$L$4:$L$123,0)),"")</f>
        <v/>
      </c>
      <c r="H98" s="2" t="str">
        <f>IFERROR(INDEX('ENTRADA DATOS'!$H$4:$H$123,MATCH(LARGE('ENTRADA DATOS'!$L$4:$L$123,95),'ENTRADA DATOS'!$L$4:$L$123,0)),"")</f>
        <v/>
      </c>
      <c r="I98" s="2" t="str">
        <f>IFERROR(INDEX('ENTRADA DATOS'!$I$4:$I$123,MATCH(LARGE('ENTRADA DATOS'!$L$4:$L$123,95),'ENTRADA DATOS'!$L$4:$L$123,0)),"")</f>
        <v/>
      </c>
      <c r="J98" s="3" t="str">
        <f>IFERROR(INDEX('ENTRADA DATOS'!$J$4:$J$123,MATCH(LARGE('ENTRADA DATOS'!$L$4:$L$123,95),'ENTRADA DATOS'!$L$4:$L$123,0)),"")</f>
        <v/>
      </c>
      <c r="K98" s="3" t="str">
        <f>IFERROR(INDEX('ENTRADA DATOS'!$K$4:$K$123,MATCH(LARGE('ENTRADA DATOS'!$L$4:$L$123,95),'ENTRADA DATOS'!$L$4:$L$123,0)),"")</f>
        <v/>
      </c>
    </row>
    <row r="99" spans="1:11" x14ac:dyDescent="0.3">
      <c r="A99" s="4" t="str">
        <f>IF(I99="","",96)</f>
        <v/>
      </c>
      <c r="B99" s="5" t="str">
        <f>IFERROR(INDEX('ENTRADA DATOS'!$B$4:$B$123,MATCH(LARGE('ENTRADA DATOS'!$L$4:$L$123,96),'ENTRADA DATOS'!$L$4:$L$123,0)),"")</f>
        <v/>
      </c>
      <c r="C99" s="4" t="str">
        <f>IFERROR(INDEX('ENTRADA DATOS'!$C$4:$C$123,MATCH(LARGE('ENTRADA DATOS'!$L$4:$L$123,96),'ENTRADA DATOS'!$L$4:$L$123,0)),"")</f>
        <v/>
      </c>
      <c r="D99" s="4" t="str">
        <f>IFERROR(INDEX('ENTRADA DATOS'!$D$4:$D$123,MATCH(LARGE('ENTRADA DATOS'!$L$4:$L$123,96),'ENTRADA DATOS'!$L$4:$L$123,0)),"")</f>
        <v/>
      </c>
      <c r="E99" s="4" t="str">
        <f>IFERROR(INDEX('ENTRADA DATOS'!$E$4:$E$123,MATCH(LARGE('ENTRADA DATOS'!$L$4:$L$123,96),'ENTRADA DATOS'!$L$4:$L$123,0)),"")</f>
        <v/>
      </c>
      <c r="F99" s="4" t="str">
        <f>IFERROR(INDEX('ENTRADA DATOS'!$F$4:$F$123,MATCH(LARGE('ENTRADA DATOS'!$L$4:$L$123,96),'ENTRADA DATOS'!$L$4:$L$123,0)),"")</f>
        <v/>
      </c>
      <c r="G99" s="4" t="str">
        <f>IFERROR(INDEX('ENTRADA DATOS'!$G$4:$G$123,MATCH(LARGE('ENTRADA DATOS'!$L$4:$L$123,96),'ENTRADA DATOS'!$L$4:$L$123,0)),"")</f>
        <v/>
      </c>
      <c r="H99" s="4" t="str">
        <f>IFERROR(INDEX('ENTRADA DATOS'!$H$4:$H$123,MATCH(LARGE('ENTRADA DATOS'!$L$4:$L$123,96),'ENTRADA DATOS'!$L$4:$L$123,0)),"")</f>
        <v/>
      </c>
      <c r="I99" s="4" t="str">
        <f>IFERROR(INDEX('ENTRADA DATOS'!$I$4:$I$123,MATCH(LARGE('ENTRADA DATOS'!$L$4:$L$123,96),'ENTRADA DATOS'!$L$4:$L$123,0)),"")</f>
        <v/>
      </c>
      <c r="J99" s="5" t="str">
        <f>IFERROR(INDEX('ENTRADA DATOS'!$J$4:$J$123,MATCH(LARGE('ENTRADA DATOS'!$L$4:$L$123,96),'ENTRADA DATOS'!$L$4:$L$123,0)),"")</f>
        <v/>
      </c>
      <c r="K99" s="5" t="str">
        <f>IFERROR(INDEX('ENTRADA DATOS'!$K$4:$K$123,MATCH(LARGE('ENTRADA DATOS'!$L$4:$L$123,96),'ENTRADA DATOS'!$L$4:$L$123,0)),"")</f>
        <v/>
      </c>
    </row>
    <row r="100" spans="1:11" x14ac:dyDescent="0.3">
      <c r="A100" s="2" t="str">
        <f>IF(I100="","",97)</f>
        <v/>
      </c>
      <c r="B100" s="3" t="str">
        <f>IFERROR(INDEX('ENTRADA DATOS'!$B$4:$B$123,MATCH(LARGE('ENTRADA DATOS'!$L$4:$L$123,97),'ENTRADA DATOS'!$L$4:$L$123,0)),"")</f>
        <v/>
      </c>
      <c r="C100" s="2" t="str">
        <f>IFERROR(INDEX('ENTRADA DATOS'!$C$4:$C$123,MATCH(LARGE('ENTRADA DATOS'!$L$4:$L$123,97),'ENTRADA DATOS'!$L$4:$L$123,0)),"")</f>
        <v/>
      </c>
      <c r="D100" s="2" t="str">
        <f>IFERROR(INDEX('ENTRADA DATOS'!$D$4:$D$123,MATCH(LARGE('ENTRADA DATOS'!$L$4:$L$123,97),'ENTRADA DATOS'!$L$4:$L$123,0)),"")</f>
        <v/>
      </c>
      <c r="E100" s="2" t="str">
        <f>IFERROR(INDEX('ENTRADA DATOS'!$E$4:$E$123,MATCH(LARGE('ENTRADA DATOS'!$L$4:$L$123,97),'ENTRADA DATOS'!$L$4:$L$123,0)),"")</f>
        <v/>
      </c>
      <c r="F100" s="2" t="str">
        <f>IFERROR(INDEX('ENTRADA DATOS'!$F$4:$F$123,MATCH(LARGE('ENTRADA DATOS'!$L$4:$L$123,97),'ENTRADA DATOS'!$L$4:$L$123,0)),"")</f>
        <v/>
      </c>
      <c r="G100" s="2" t="str">
        <f>IFERROR(INDEX('ENTRADA DATOS'!$G$4:$G$123,MATCH(LARGE('ENTRADA DATOS'!$L$4:$L$123,97),'ENTRADA DATOS'!$L$4:$L$123,0)),"")</f>
        <v/>
      </c>
      <c r="H100" s="2" t="str">
        <f>IFERROR(INDEX('ENTRADA DATOS'!$H$4:$H$123,MATCH(LARGE('ENTRADA DATOS'!$L$4:$L$123,97),'ENTRADA DATOS'!$L$4:$L$123,0)),"")</f>
        <v/>
      </c>
      <c r="I100" s="2" t="str">
        <f>IFERROR(INDEX('ENTRADA DATOS'!$I$4:$I$123,MATCH(LARGE('ENTRADA DATOS'!$L$4:$L$123,97),'ENTRADA DATOS'!$L$4:$L$123,0)),"")</f>
        <v/>
      </c>
      <c r="J100" s="3" t="str">
        <f>IFERROR(INDEX('ENTRADA DATOS'!$J$4:$J$123,MATCH(LARGE('ENTRADA DATOS'!$L$4:$L$123,97),'ENTRADA DATOS'!$L$4:$L$123,0)),"")</f>
        <v/>
      </c>
      <c r="K100" s="3" t="str">
        <f>IFERROR(INDEX('ENTRADA DATOS'!$K$4:$K$123,MATCH(LARGE('ENTRADA DATOS'!$L$4:$L$123,97),'ENTRADA DATOS'!$L$4:$L$123,0)),"")</f>
        <v/>
      </c>
    </row>
    <row r="101" spans="1:11" x14ac:dyDescent="0.3">
      <c r="A101" s="4" t="str">
        <f>IF(I101="","",98)</f>
        <v/>
      </c>
      <c r="B101" s="5" t="str">
        <f>IFERROR(INDEX('ENTRADA DATOS'!$B$4:$B$123,MATCH(LARGE('ENTRADA DATOS'!$L$4:$L$123,98),'ENTRADA DATOS'!$L$4:$L$123,0)),"")</f>
        <v/>
      </c>
      <c r="C101" s="4" t="str">
        <f>IFERROR(INDEX('ENTRADA DATOS'!$C$4:$C$123,MATCH(LARGE('ENTRADA DATOS'!$L$4:$L$123,98),'ENTRADA DATOS'!$L$4:$L$123,0)),"")</f>
        <v/>
      </c>
      <c r="D101" s="4" t="str">
        <f>IFERROR(INDEX('ENTRADA DATOS'!$D$4:$D$123,MATCH(LARGE('ENTRADA DATOS'!$L$4:$L$123,98),'ENTRADA DATOS'!$L$4:$L$123,0)),"")</f>
        <v/>
      </c>
      <c r="E101" s="4" t="str">
        <f>IFERROR(INDEX('ENTRADA DATOS'!$E$4:$E$123,MATCH(LARGE('ENTRADA DATOS'!$L$4:$L$123,98),'ENTRADA DATOS'!$L$4:$L$123,0)),"")</f>
        <v/>
      </c>
      <c r="F101" s="4" t="str">
        <f>IFERROR(INDEX('ENTRADA DATOS'!$F$4:$F$123,MATCH(LARGE('ENTRADA DATOS'!$L$4:$L$123,98),'ENTRADA DATOS'!$L$4:$L$123,0)),"")</f>
        <v/>
      </c>
      <c r="G101" s="4" t="str">
        <f>IFERROR(INDEX('ENTRADA DATOS'!$G$4:$G$123,MATCH(LARGE('ENTRADA DATOS'!$L$4:$L$123,98),'ENTRADA DATOS'!$L$4:$L$123,0)),"")</f>
        <v/>
      </c>
      <c r="H101" s="4" t="str">
        <f>IFERROR(INDEX('ENTRADA DATOS'!$H$4:$H$123,MATCH(LARGE('ENTRADA DATOS'!$L$4:$L$123,98),'ENTRADA DATOS'!$L$4:$L$123,0)),"")</f>
        <v/>
      </c>
      <c r="I101" s="4" t="str">
        <f>IFERROR(INDEX('ENTRADA DATOS'!$I$4:$I$123,MATCH(LARGE('ENTRADA DATOS'!$L$4:$L$123,98),'ENTRADA DATOS'!$L$4:$L$123,0)),"")</f>
        <v/>
      </c>
      <c r="J101" s="5" t="str">
        <f>IFERROR(INDEX('ENTRADA DATOS'!$J$4:$J$123,MATCH(LARGE('ENTRADA DATOS'!$L$4:$L$123,98),'ENTRADA DATOS'!$L$4:$L$123,0)),"")</f>
        <v/>
      </c>
      <c r="K101" s="5" t="str">
        <f>IFERROR(INDEX('ENTRADA DATOS'!$K$4:$K$123,MATCH(LARGE('ENTRADA DATOS'!$L$4:$L$123,98),'ENTRADA DATOS'!$L$4:$L$123,0)),"")</f>
        <v/>
      </c>
    </row>
    <row r="102" spans="1:11" x14ac:dyDescent="0.3">
      <c r="A102" s="2" t="str">
        <f>IF(I102="","",99)</f>
        <v/>
      </c>
      <c r="B102" s="3" t="str">
        <f>IFERROR(INDEX('ENTRADA DATOS'!$B$4:$B$123,MATCH(LARGE('ENTRADA DATOS'!$L$4:$L$123,99),'ENTRADA DATOS'!$L$4:$L$123,0)),"")</f>
        <v/>
      </c>
      <c r="C102" s="2" t="str">
        <f>IFERROR(INDEX('ENTRADA DATOS'!$C$4:$C$123,MATCH(LARGE('ENTRADA DATOS'!$L$4:$L$123,99),'ENTRADA DATOS'!$L$4:$L$123,0)),"")</f>
        <v/>
      </c>
      <c r="D102" s="2" t="str">
        <f>IFERROR(INDEX('ENTRADA DATOS'!$D$4:$D$123,MATCH(LARGE('ENTRADA DATOS'!$L$4:$L$123,99),'ENTRADA DATOS'!$L$4:$L$123,0)),"")</f>
        <v/>
      </c>
      <c r="E102" s="2" t="str">
        <f>IFERROR(INDEX('ENTRADA DATOS'!$E$4:$E$123,MATCH(LARGE('ENTRADA DATOS'!$L$4:$L$123,99),'ENTRADA DATOS'!$L$4:$L$123,0)),"")</f>
        <v/>
      </c>
      <c r="F102" s="2" t="str">
        <f>IFERROR(INDEX('ENTRADA DATOS'!$F$4:$F$123,MATCH(LARGE('ENTRADA DATOS'!$L$4:$L$123,99),'ENTRADA DATOS'!$L$4:$L$123,0)),"")</f>
        <v/>
      </c>
      <c r="G102" s="2" t="str">
        <f>IFERROR(INDEX('ENTRADA DATOS'!$G$4:$G$123,MATCH(LARGE('ENTRADA DATOS'!$L$4:$L$123,99),'ENTRADA DATOS'!$L$4:$L$123,0)),"")</f>
        <v/>
      </c>
      <c r="H102" s="2" t="str">
        <f>IFERROR(INDEX('ENTRADA DATOS'!$H$4:$H$123,MATCH(LARGE('ENTRADA DATOS'!$L$4:$L$123,99),'ENTRADA DATOS'!$L$4:$L$123,0)),"")</f>
        <v/>
      </c>
      <c r="I102" s="2" t="str">
        <f>IFERROR(INDEX('ENTRADA DATOS'!$I$4:$I$123,MATCH(LARGE('ENTRADA DATOS'!$L$4:$L$123,99),'ENTRADA DATOS'!$L$4:$L$123,0)),"")</f>
        <v/>
      </c>
      <c r="J102" s="3" t="str">
        <f>IFERROR(INDEX('ENTRADA DATOS'!$J$4:$J$123,MATCH(LARGE('ENTRADA DATOS'!$L$4:$L$123,99),'ENTRADA DATOS'!$L$4:$L$123,0)),"")</f>
        <v/>
      </c>
      <c r="K102" s="3" t="str">
        <f>IFERROR(INDEX('ENTRADA DATOS'!$K$4:$K$123,MATCH(LARGE('ENTRADA DATOS'!$L$4:$L$123,99),'ENTRADA DATOS'!$L$4:$L$123,0)),"")</f>
        <v/>
      </c>
    </row>
    <row r="103" spans="1:11" x14ac:dyDescent="0.3">
      <c r="A103" s="4" t="str">
        <f>IF(I103="","",100)</f>
        <v/>
      </c>
      <c r="B103" s="5" t="str">
        <f>IFERROR(INDEX('ENTRADA DATOS'!$B$4:$B$123,MATCH(LARGE('ENTRADA DATOS'!$L$4:$L$123,100),'ENTRADA DATOS'!$L$4:$L$123,0)),"")</f>
        <v/>
      </c>
      <c r="C103" s="4" t="str">
        <f>IFERROR(INDEX('ENTRADA DATOS'!$C$4:$C$123,MATCH(LARGE('ENTRADA DATOS'!$L$4:$L$123,100),'ENTRADA DATOS'!$L$4:$L$123,0)),"")</f>
        <v/>
      </c>
      <c r="D103" s="4" t="str">
        <f>IFERROR(INDEX('ENTRADA DATOS'!$D$4:$D$123,MATCH(LARGE('ENTRADA DATOS'!$L$4:$L$123,100),'ENTRADA DATOS'!$L$4:$L$123,0)),"")</f>
        <v/>
      </c>
      <c r="E103" s="4" t="str">
        <f>IFERROR(INDEX('ENTRADA DATOS'!$E$4:$E$123,MATCH(LARGE('ENTRADA DATOS'!$L$4:$L$123,100),'ENTRADA DATOS'!$L$4:$L$123,0)),"")</f>
        <v/>
      </c>
      <c r="F103" s="4" t="str">
        <f>IFERROR(INDEX('ENTRADA DATOS'!$F$4:$F$123,MATCH(LARGE('ENTRADA DATOS'!$L$4:$L$123,100),'ENTRADA DATOS'!$L$4:$L$123,0)),"")</f>
        <v/>
      </c>
      <c r="G103" s="4" t="str">
        <f>IFERROR(INDEX('ENTRADA DATOS'!$G$4:$G$123,MATCH(LARGE('ENTRADA DATOS'!$L$4:$L$123,100),'ENTRADA DATOS'!$L$4:$L$123,0)),"")</f>
        <v/>
      </c>
      <c r="H103" s="4" t="str">
        <f>IFERROR(INDEX('ENTRADA DATOS'!$H$4:$H$123,MATCH(LARGE('ENTRADA DATOS'!$L$4:$L$123,100),'ENTRADA DATOS'!$L$4:$L$123,0)),"")</f>
        <v/>
      </c>
      <c r="I103" s="4" t="str">
        <f>IFERROR(INDEX('ENTRADA DATOS'!$I$4:$I$123,MATCH(LARGE('ENTRADA DATOS'!$L$4:$L$123,100),'ENTRADA DATOS'!$L$4:$L$123,0)),"")</f>
        <v/>
      </c>
      <c r="J103" s="5" t="str">
        <f>IFERROR(INDEX('ENTRADA DATOS'!$J$4:$J$123,MATCH(LARGE('ENTRADA DATOS'!$L$4:$L$123,100),'ENTRADA DATOS'!$L$4:$L$123,0)),"")</f>
        <v/>
      </c>
      <c r="K103" s="5" t="str">
        <f>IFERROR(INDEX('ENTRADA DATOS'!$K$4:$K$123,MATCH(LARGE('ENTRADA DATOS'!$L$4:$L$123,100),'ENTRADA DATOS'!$L$4:$L$123,0)),"")</f>
        <v/>
      </c>
    </row>
    <row r="104" spans="1:11" x14ac:dyDescent="0.3">
      <c r="A104" s="2" t="str">
        <f>IF(I104="","",101)</f>
        <v/>
      </c>
      <c r="B104" s="3" t="str">
        <f>IFERROR(INDEX('ENTRADA DATOS'!$B$4:$B$123,MATCH(LARGE('ENTRADA DATOS'!$L$4:$L$123,101),'ENTRADA DATOS'!$L$4:$L$123,0)),"")</f>
        <v/>
      </c>
      <c r="C104" s="2" t="str">
        <f>IFERROR(INDEX('ENTRADA DATOS'!$C$4:$C$123,MATCH(LARGE('ENTRADA DATOS'!$L$4:$L$123,101),'ENTRADA DATOS'!$L$4:$L$123,0)),"")</f>
        <v/>
      </c>
      <c r="D104" s="2" t="str">
        <f>IFERROR(INDEX('ENTRADA DATOS'!$D$4:$D$123,MATCH(LARGE('ENTRADA DATOS'!$L$4:$L$123,101),'ENTRADA DATOS'!$L$4:$L$123,0)),"")</f>
        <v/>
      </c>
      <c r="E104" s="2" t="str">
        <f>IFERROR(INDEX('ENTRADA DATOS'!$E$4:$E$123,MATCH(LARGE('ENTRADA DATOS'!$L$4:$L$123,101),'ENTRADA DATOS'!$L$4:$L$123,0)),"")</f>
        <v/>
      </c>
      <c r="F104" s="2" t="str">
        <f>IFERROR(INDEX('ENTRADA DATOS'!$F$4:$F$123,MATCH(LARGE('ENTRADA DATOS'!$L$4:$L$123,101),'ENTRADA DATOS'!$L$4:$L$123,0)),"")</f>
        <v/>
      </c>
      <c r="G104" s="2" t="str">
        <f>IFERROR(INDEX('ENTRADA DATOS'!$G$4:$G$123,MATCH(LARGE('ENTRADA DATOS'!$L$4:$L$123,101),'ENTRADA DATOS'!$L$4:$L$123,0)),"")</f>
        <v/>
      </c>
      <c r="H104" s="2" t="str">
        <f>IFERROR(INDEX('ENTRADA DATOS'!$H$4:$H$123,MATCH(LARGE('ENTRADA DATOS'!$L$4:$L$123,101),'ENTRADA DATOS'!$L$4:$L$123,0)),"")</f>
        <v/>
      </c>
      <c r="I104" s="2" t="str">
        <f>IFERROR(INDEX('ENTRADA DATOS'!$I$4:$I$123,MATCH(LARGE('ENTRADA DATOS'!$L$4:$L$123,101),'ENTRADA DATOS'!$L$4:$L$123,0)),"")</f>
        <v/>
      </c>
      <c r="J104" s="3" t="str">
        <f>IFERROR(INDEX('ENTRADA DATOS'!$J$4:$J$123,MATCH(LARGE('ENTRADA DATOS'!$L$4:$L$123,101),'ENTRADA DATOS'!$L$4:$L$123,0)),"")</f>
        <v/>
      </c>
      <c r="K104" s="3" t="str">
        <f>IFERROR(INDEX('ENTRADA DATOS'!$K$4:$K$123,MATCH(LARGE('ENTRADA DATOS'!$L$4:$L$123,101),'ENTRADA DATOS'!$L$4:$L$123,0)),"")</f>
        <v/>
      </c>
    </row>
    <row r="105" spans="1:11" x14ac:dyDescent="0.3">
      <c r="A105" s="4" t="str">
        <f>IF(I105="","",102)</f>
        <v/>
      </c>
      <c r="B105" s="5" t="str">
        <f>IFERROR(INDEX('ENTRADA DATOS'!$B$4:$B$123,MATCH(LARGE('ENTRADA DATOS'!$L$4:$L$123,102),'ENTRADA DATOS'!$L$4:$L$123,0)),"")</f>
        <v/>
      </c>
      <c r="C105" s="4" t="str">
        <f>IFERROR(INDEX('ENTRADA DATOS'!$C$4:$C$123,MATCH(LARGE('ENTRADA DATOS'!$L$4:$L$123,102),'ENTRADA DATOS'!$L$4:$L$123,0)),"")</f>
        <v/>
      </c>
      <c r="D105" s="4" t="str">
        <f>IFERROR(INDEX('ENTRADA DATOS'!$D$4:$D$123,MATCH(LARGE('ENTRADA DATOS'!$L$4:$L$123,102),'ENTRADA DATOS'!$L$4:$L$123,0)),"")</f>
        <v/>
      </c>
      <c r="E105" s="4" t="str">
        <f>IFERROR(INDEX('ENTRADA DATOS'!$E$4:$E$123,MATCH(LARGE('ENTRADA DATOS'!$L$4:$L$123,102),'ENTRADA DATOS'!$L$4:$L$123,0)),"")</f>
        <v/>
      </c>
      <c r="F105" s="4" t="str">
        <f>IFERROR(INDEX('ENTRADA DATOS'!$F$4:$F$123,MATCH(LARGE('ENTRADA DATOS'!$L$4:$L$123,102),'ENTRADA DATOS'!$L$4:$L$123,0)),"")</f>
        <v/>
      </c>
      <c r="G105" s="4" t="str">
        <f>IFERROR(INDEX('ENTRADA DATOS'!$G$4:$G$123,MATCH(LARGE('ENTRADA DATOS'!$L$4:$L$123,102),'ENTRADA DATOS'!$L$4:$L$123,0)),"")</f>
        <v/>
      </c>
      <c r="H105" s="4" t="str">
        <f>IFERROR(INDEX('ENTRADA DATOS'!$H$4:$H$123,MATCH(LARGE('ENTRADA DATOS'!$L$4:$L$123,102),'ENTRADA DATOS'!$L$4:$L$123,0)),"")</f>
        <v/>
      </c>
      <c r="I105" s="4" t="str">
        <f>IFERROR(INDEX('ENTRADA DATOS'!$I$4:$I$123,MATCH(LARGE('ENTRADA DATOS'!$L$4:$L$123,102),'ENTRADA DATOS'!$L$4:$L$123,0)),"")</f>
        <v/>
      </c>
      <c r="J105" s="5" t="str">
        <f>IFERROR(INDEX('ENTRADA DATOS'!$J$4:$J$123,MATCH(LARGE('ENTRADA DATOS'!$L$4:$L$123,102),'ENTRADA DATOS'!$L$4:$L$123,0)),"")</f>
        <v/>
      </c>
      <c r="K105" s="5" t="str">
        <f>IFERROR(INDEX('ENTRADA DATOS'!$K$4:$K$123,MATCH(LARGE('ENTRADA DATOS'!$L$4:$L$123,102),'ENTRADA DATOS'!$L$4:$L$123,0)),"")</f>
        <v/>
      </c>
    </row>
    <row r="106" spans="1:11" x14ac:dyDescent="0.3">
      <c r="A106" s="2" t="str">
        <f>IF(I106="","",103)</f>
        <v/>
      </c>
      <c r="B106" s="3" t="str">
        <f>IFERROR(INDEX('ENTRADA DATOS'!$B$4:$B$123,MATCH(LARGE('ENTRADA DATOS'!$L$4:$L$123,103),'ENTRADA DATOS'!$L$4:$L$123,0)),"")</f>
        <v/>
      </c>
      <c r="C106" s="2" t="str">
        <f>IFERROR(INDEX('ENTRADA DATOS'!$C$4:$C$123,MATCH(LARGE('ENTRADA DATOS'!$L$4:$L$123,103),'ENTRADA DATOS'!$L$4:$L$123,0)),"")</f>
        <v/>
      </c>
      <c r="D106" s="2" t="str">
        <f>IFERROR(INDEX('ENTRADA DATOS'!$D$4:$D$123,MATCH(LARGE('ENTRADA DATOS'!$L$4:$L$123,103),'ENTRADA DATOS'!$L$4:$L$123,0)),"")</f>
        <v/>
      </c>
      <c r="E106" s="2" t="str">
        <f>IFERROR(INDEX('ENTRADA DATOS'!$E$4:$E$123,MATCH(LARGE('ENTRADA DATOS'!$L$4:$L$123,103),'ENTRADA DATOS'!$L$4:$L$123,0)),"")</f>
        <v/>
      </c>
      <c r="F106" s="2" t="str">
        <f>IFERROR(INDEX('ENTRADA DATOS'!$F$4:$F$123,MATCH(LARGE('ENTRADA DATOS'!$L$4:$L$123,103),'ENTRADA DATOS'!$L$4:$L$123,0)),"")</f>
        <v/>
      </c>
      <c r="G106" s="2" t="str">
        <f>IFERROR(INDEX('ENTRADA DATOS'!$G$4:$G$123,MATCH(LARGE('ENTRADA DATOS'!$L$4:$L$123,103),'ENTRADA DATOS'!$L$4:$L$123,0)),"")</f>
        <v/>
      </c>
      <c r="H106" s="2" t="str">
        <f>IFERROR(INDEX('ENTRADA DATOS'!$H$4:$H$123,MATCH(LARGE('ENTRADA DATOS'!$L$4:$L$123,103),'ENTRADA DATOS'!$L$4:$L$123,0)),"")</f>
        <v/>
      </c>
      <c r="I106" s="2" t="str">
        <f>IFERROR(INDEX('ENTRADA DATOS'!$I$4:$I$123,MATCH(LARGE('ENTRADA DATOS'!$L$4:$L$123,103),'ENTRADA DATOS'!$L$4:$L$123,0)),"")</f>
        <v/>
      </c>
      <c r="J106" s="3" t="str">
        <f>IFERROR(INDEX('ENTRADA DATOS'!$J$4:$J$123,MATCH(LARGE('ENTRADA DATOS'!$L$4:$L$123,103),'ENTRADA DATOS'!$L$4:$L$123,0)),"")</f>
        <v/>
      </c>
      <c r="K106" s="3" t="str">
        <f>IFERROR(INDEX('ENTRADA DATOS'!$K$4:$K$123,MATCH(LARGE('ENTRADA DATOS'!$L$4:$L$123,103),'ENTRADA DATOS'!$L$4:$L$123,0)),"")</f>
        <v/>
      </c>
    </row>
    <row r="107" spans="1:11" x14ac:dyDescent="0.3">
      <c r="A107" s="4" t="str">
        <f>IF(I107="","",104)</f>
        <v/>
      </c>
      <c r="B107" s="5" t="str">
        <f>IFERROR(INDEX('ENTRADA DATOS'!$B$4:$B$123,MATCH(LARGE('ENTRADA DATOS'!$L$4:$L$123,104),'ENTRADA DATOS'!$L$4:$L$123,0)),"")</f>
        <v/>
      </c>
      <c r="C107" s="4" t="str">
        <f>IFERROR(INDEX('ENTRADA DATOS'!$C$4:$C$123,MATCH(LARGE('ENTRADA DATOS'!$L$4:$L$123,104),'ENTRADA DATOS'!$L$4:$L$123,0)),"")</f>
        <v/>
      </c>
      <c r="D107" s="4" t="str">
        <f>IFERROR(INDEX('ENTRADA DATOS'!$D$4:$D$123,MATCH(LARGE('ENTRADA DATOS'!$L$4:$L$123,104),'ENTRADA DATOS'!$L$4:$L$123,0)),"")</f>
        <v/>
      </c>
      <c r="E107" s="4" t="str">
        <f>IFERROR(INDEX('ENTRADA DATOS'!$E$4:$E$123,MATCH(LARGE('ENTRADA DATOS'!$L$4:$L$123,104),'ENTRADA DATOS'!$L$4:$L$123,0)),"")</f>
        <v/>
      </c>
      <c r="F107" s="4" t="str">
        <f>IFERROR(INDEX('ENTRADA DATOS'!$F$4:$F$123,MATCH(LARGE('ENTRADA DATOS'!$L$4:$L$123,104),'ENTRADA DATOS'!$L$4:$L$123,0)),"")</f>
        <v/>
      </c>
      <c r="G107" s="4" t="str">
        <f>IFERROR(INDEX('ENTRADA DATOS'!$G$4:$G$123,MATCH(LARGE('ENTRADA DATOS'!$L$4:$L$123,104),'ENTRADA DATOS'!$L$4:$L$123,0)),"")</f>
        <v/>
      </c>
      <c r="H107" s="4" t="str">
        <f>IFERROR(INDEX('ENTRADA DATOS'!$H$4:$H$123,MATCH(LARGE('ENTRADA DATOS'!$L$4:$L$123,104),'ENTRADA DATOS'!$L$4:$L$123,0)),"")</f>
        <v/>
      </c>
      <c r="I107" s="4" t="str">
        <f>IFERROR(INDEX('ENTRADA DATOS'!$I$4:$I$123,MATCH(LARGE('ENTRADA DATOS'!$L$4:$L$123,104),'ENTRADA DATOS'!$L$4:$L$123,0)),"")</f>
        <v/>
      </c>
      <c r="J107" s="5" t="str">
        <f>IFERROR(INDEX('ENTRADA DATOS'!$J$4:$J$123,MATCH(LARGE('ENTRADA DATOS'!$L$4:$L$123,104),'ENTRADA DATOS'!$L$4:$L$123,0)),"")</f>
        <v/>
      </c>
      <c r="K107" s="5" t="str">
        <f>IFERROR(INDEX('ENTRADA DATOS'!$K$4:$K$123,MATCH(LARGE('ENTRADA DATOS'!$L$4:$L$123,104),'ENTRADA DATOS'!$L$4:$L$123,0)),"")</f>
        <v/>
      </c>
    </row>
    <row r="108" spans="1:11" x14ac:dyDescent="0.3">
      <c r="A108" s="2" t="str">
        <f>IF(I108="","",105)</f>
        <v/>
      </c>
      <c r="B108" s="3" t="str">
        <f>IFERROR(INDEX('ENTRADA DATOS'!$B$4:$B$123,MATCH(LARGE('ENTRADA DATOS'!$L$4:$L$123,105),'ENTRADA DATOS'!$L$4:$L$123,0)),"")</f>
        <v/>
      </c>
      <c r="C108" s="2" t="str">
        <f>IFERROR(INDEX('ENTRADA DATOS'!$C$4:$C$123,MATCH(LARGE('ENTRADA DATOS'!$L$4:$L$123,105),'ENTRADA DATOS'!$L$4:$L$123,0)),"")</f>
        <v/>
      </c>
      <c r="D108" s="2" t="str">
        <f>IFERROR(INDEX('ENTRADA DATOS'!$D$4:$D$123,MATCH(LARGE('ENTRADA DATOS'!$L$4:$L$123,105),'ENTRADA DATOS'!$L$4:$L$123,0)),"")</f>
        <v/>
      </c>
      <c r="E108" s="2" t="str">
        <f>IFERROR(INDEX('ENTRADA DATOS'!$E$4:$E$123,MATCH(LARGE('ENTRADA DATOS'!$L$4:$L$123,105),'ENTRADA DATOS'!$L$4:$L$123,0)),"")</f>
        <v/>
      </c>
      <c r="F108" s="2" t="str">
        <f>IFERROR(INDEX('ENTRADA DATOS'!$F$4:$F$123,MATCH(LARGE('ENTRADA DATOS'!$L$4:$L$123,105),'ENTRADA DATOS'!$L$4:$L$123,0)),"")</f>
        <v/>
      </c>
      <c r="G108" s="2" t="str">
        <f>IFERROR(INDEX('ENTRADA DATOS'!$G$4:$G$123,MATCH(LARGE('ENTRADA DATOS'!$L$4:$L$123,105),'ENTRADA DATOS'!$L$4:$L$123,0)),"")</f>
        <v/>
      </c>
      <c r="H108" s="2" t="str">
        <f>IFERROR(INDEX('ENTRADA DATOS'!$H$4:$H$123,MATCH(LARGE('ENTRADA DATOS'!$L$4:$L$123,105),'ENTRADA DATOS'!$L$4:$L$123,0)),"")</f>
        <v/>
      </c>
      <c r="I108" s="2" t="str">
        <f>IFERROR(INDEX('ENTRADA DATOS'!$I$4:$I$123,MATCH(LARGE('ENTRADA DATOS'!$L$4:$L$123,105),'ENTRADA DATOS'!$L$4:$L$123,0)),"")</f>
        <v/>
      </c>
      <c r="J108" s="3" t="str">
        <f>IFERROR(INDEX('ENTRADA DATOS'!$J$4:$J$123,MATCH(LARGE('ENTRADA DATOS'!$L$4:$L$123,105),'ENTRADA DATOS'!$L$4:$L$123,0)),"")</f>
        <v/>
      </c>
      <c r="K108" s="3" t="str">
        <f>IFERROR(INDEX('ENTRADA DATOS'!$K$4:$K$123,MATCH(LARGE('ENTRADA DATOS'!$L$4:$L$123,105),'ENTRADA DATOS'!$L$4:$L$123,0)),"")</f>
        <v/>
      </c>
    </row>
    <row r="109" spans="1:11" x14ac:dyDescent="0.3">
      <c r="A109" s="4" t="str">
        <f>IF(I109="","",106)</f>
        <v/>
      </c>
      <c r="B109" s="5" t="str">
        <f>IFERROR(INDEX('ENTRADA DATOS'!$B$4:$B$123,MATCH(LARGE('ENTRADA DATOS'!$L$4:$L$123,106),'ENTRADA DATOS'!$L$4:$L$123,0)),"")</f>
        <v/>
      </c>
      <c r="C109" s="4" t="str">
        <f>IFERROR(INDEX('ENTRADA DATOS'!$C$4:$C$123,MATCH(LARGE('ENTRADA DATOS'!$L$4:$L$123,106),'ENTRADA DATOS'!$L$4:$L$123,0)),"")</f>
        <v/>
      </c>
      <c r="D109" s="4" t="str">
        <f>IFERROR(INDEX('ENTRADA DATOS'!$D$4:$D$123,MATCH(LARGE('ENTRADA DATOS'!$L$4:$L$123,106),'ENTRADA DATOS'!$L$4:$L$123,0)),"")</f>
        <v/>
      </c>
      <c r="E109" s="4" t="str">
        <f>IFERROR(INDEX('ENTRADA DATOS'!$E$4:$E$123,MATCH(LARGE('ENTRADA DATOS'!$L$4:$L$123,106),'ENTRADA DATOS'!$L$4:$L$123,0)),"")</f>
        <v/>
      </c>
      <c r="F109" s="4" t="str">
        <f>IFERROR(INDEX('ENTRADA DATOS'!$F$4:$F$123,MATCH(LARGE('ENTRADA DATOS'!$L$4:$L$123,106),'ENTRADA DATOS'!$L$4:$L$123,0)),"")</f>
        <v/>
      </c>
      <c r="G109" s="4" t="str">
        <f>IFERROR(INDEX('ENTRADA DATOS'!$G$4:$G$123,MATCH(LARGE('ENTRADA DATOS'!$L$4:$L$123,106),'ENTRADA DATOS'!$L$4:$L$123,0)),"")</f>
        <v/>
      </c>
      <c r="H109" s="4" t="str">
        <f>IFERROR(INDEX('ENTRADA DATOS'!$H$4:$H$123,MATCH(LARGE('ENTRADA DATOS'!$L$4:$L$123,106),'ENTRADA DATOS'!$L$4:$L$123,0)),"")</f>
        <v/>
      </c>
      <c r="I109" s="4" t="str">
        <f>IFERROR(INDEX('ENTRADA DATOS'!$I$4:$I$123,MATCH(LARGE('ENTRADA DATOS'!$L$4:$L$123,106),'ENTRADA DATOS'!$L$4:$L$123,0)),"")</f>
        <v/>
      </c>
      <c r="J109" s="5" t="str">
        <f>IFERROR(INDEX('ENTRADA DATOS'!$J$4:$J$123,MATCH(LARGE('ENTRADA DATOS'!$L$4:$L$123,106),'ENTRADA DATOS'!$L$4:$L$123,0)),"")</f>
        <v/>
      </c>
      <c r="K109" s="5" t="str">
        <f>IFERROR(INDEX('ENTRADA DATOS'!$K$4:$K$123,MATCH(LARGE('ENTRADA DATOS'!$L$4:$L$123,106),'ENTRADA DATOS'!$L$4:$L$123,0)),"")</f>
        <v/>
      </c>
    </row>
    <row r="110" spans="1:11" x14ac:dyDescent="0.3">
      <c r="A110" s="2" t="str">
        <f>IF(I110="","",107)</f>
        <v/>
      </c>
      <c r="B110" s="3" t="str">
        <f>IFERROR(INDEX('ENTRADA DATOS'!$B$4:$B$123,MATCH(LARGE('ENTRADA DATOS'!$L$4:$L$123,107),'ENTRADA DATOS'!$L$4:$L$123,0)),"")</f>
        <v/>
      </c>
      <c r="C110" s="2" t="str">
        <f>IFERROR(INDEX('ENTRADA DATOS'!$C$4:$C$123,MATCH(LARGE('ENTRADA DATOS'!$L$4:$L$123,107),'ENTRADA DATOS'!$L$4:$L$123,0)),"")</f>
        <v/>
      </c>
      <c r="D110" s="2" t="str">
        <f>IFERROR(INDEX('ENTRADA DATOS'!$D$4:$D$123,MATCH(LARGE('ENTRADA DATOS'!$L$4:$L$123,107),'ENTRADA DATOS'!$L$4:$L$123,0)),"")</f>
        <v/>
      </c>
      <c r="E110" s="2" t="str">
        <f>IFERROR(INDEX('ENTRADA DATOS'!$E$4:$E$123,MATCH(LARGE('ENTRADA DATOS'!$L$4:$L$123,107),'ENTRADA DATOS'!$L$4:$L$123,0)),"")</f>
        <v/>
      </c>
      <c r="F110" s="2" t="str">
        <f>IFERROR(INDEX('ENTRADA DATOS'!$F$4:$F$123,MATCH(LARGE('ENTRADA DATOS'!$L$4:$L$123,107),'ENTRADA DATOS'!$L$4:$L$123,0)),"")</f>
        <v/>
      </c>
      <c r="G110" s="2" t="str">
        <f>IFERROR(INDEX('ENTRADA DATOS'!$G$4:$G$123,MATCH(LARGE('ENTRADA DATOS'!$L$4:$L$123,107),'ENTRADA DATOS'!$L$4:$L$123,0)),"")</f>
        <v/>
      </c>
      <c r="H110" s="2" t="str">
        <f>IFERROR(INDEX('ENTRADA DATOS'!$H$4:$H$123,MATCH(LARGE('ENTRADA DATOS'!$L$4:$L$123,107),'ENTRADA DATOS'!$L$4:$L$123,0)),"")</f>
        <v/>
      </c>
      <c r="I110" s="2" t="str">
        <f>IFERROR(INDEX('ENTRADA DATOS'!$I$4:$I$123,MATCH(LARGE('ENTRADA DATOS'!$L$4:$L$123,107),'ENTRADA DATOS'!$L$4:$L$123,0)),"")</f>
        <v/>
      </c>
      <c r="J110" s="3" t="str">
        <f>IFERROR(INDEX('ENTRADA DATOS'!$J$4:$J$123,MATCH(LARGE('ENTRADA DATOS'!$L$4:$L$123,107),'ENTRADA DATOS'!$L$4:$L$123,0)),"")</f>
        <v/>
      </c>
      <c r="K110" s="3" t="str">
        <f>IFERROR(INDEX('ENTRADA DATOS'!$K$4:$K$123,MATCH(LARGE('ENTRADA DATOS'!$L$4:$L$123,107),'ENTRADA DATOS'!$L$4:$L$123,0)),"")</f>
        <v/>
      </c>
    </row>
    <row r="111" spans="1:11" x14ac:dyDescent="0.3">
      <c r="A111" s="4" t="str">
        <f>IF(I111="","",108)</f>
        <v/>
      </c>
      <c r="B111" s="5" t="str">
        <f>IFERROR(INDEX('ENTRADA DATOS'!$B$4:$B$123,MATCH(LARGE('ENTRADA DATOS'!$L$4:$L$123,108),'ENTRADA DATOS'!$L$4:$L$123,0)),"")</f>
        <v/>
      </c>
      <c r="C111" s="4" t="str">
        <f>IFERROR(INDEX('ENTRADA DATOS'!$C$4:$C$123,MATCH(LARGE('ENTRADA DATOS'!$L$4:$L$123,108),'ENTRADA DATOS'!$L$4:$L$123,0)),"")</f>
        <v/>
      </c>
      <c r="D111" s="4" t="str">
        <f>IFERROR(INDEX('ENTRADA DATOS'!$D$4:$D$123,MATCH(LARGE('ENTRADA DATOS'!$L$4:$L$123,108),'ENTRADA DATOS'!$L$4:$L$123,0)),"")</f>
        <v/>
      </c>
      <c r="E111" s="4" t="str">
        <f>IFERROR(INDEX('ENTRADA DATOS'!$E$4:$E$123,MATCH(LARGE('ENTRADA DATOS'!$L$4:$L$123,108),'ENTRADA DATOS'!$L$4:$L$123,0)),"")</f>
        <v/>
      </c>
      <c r="F111" s="4" t="str">
        <f>IFERROR(INDEX('ENTRADA DATOS'!$F$4:$F$123,MATCH(LARGE('ENTRADA DATOS'!$L$4:$L$123,108),'ENTRADA DATOS'!$L$4:$L$123,0)),"")</f>
        <v/>
      </c>
      <c r="G111" s="4" t="str">
        <f>IFERROR(INDEX('ENTRADA DATOS'!$G$4:$G$123,MATCH(LARGE('ENTRADA DATOS'!$L$4:$L$123,108),'ENTRADA DATOS'!$L$4:$L$123,0)),"")</f>
        <v/>
      </c>
      <c r="H111" s="4" t="str">
        <f>IFERROR(INDEX('ENTRADA DATOS'!$H$4:$H$123,MATCH(LARGE('ENTRADA DATOS'!$L$4:$L$123,108),'ENTRADA DATOS'!$L$4:$L$123,0)),"")</f>
        <v/>
      </c>
      <c r="I111" s="4" t="str">
        <f>IFERROR(INDEX('ENTRADA DATOS'!$I$4:$I$123,MATCH(LARGE('ENTRADA DATOS'!$L$4:$L$123,108),'ENTRADA DATOS'!$L$4:$L$123,0)),"")</f>
        <v/>
      </c>
      <c r="J111" s="5" t="str">
        <f>IFERROR(INDEX('ENTRADA DATOS'!$J$4:$J$123,MATCH(LARGE('ENTRADA DATOS'!$L$4:$L$123,108),'ENTRADA DATOS'!$L$4:$L$123,0)),"")</f>
        <v/>
      </c>
      <c r="K111" s="5" t="str">
        <f>IFERROR(INDEX('ENTRADA DATOS'!$K$4:$K$123,MATCH(LARGE('ENTRADA DATOS'!$L$4:$L$123,108),'ENTRADA DATOS'!$L$4:$L$123,0)),"")</f>
        <v/>
      </c>
    </row>
    <row r="112" spans="1:11" x14ac:dyDescent="0.3">
      <c r="A112" s="2" t="str">
        <f>IF(I112="","",109)</f>
        <v/>
      </c>
      <c r="B112" s="3" t="str">
        <f>IFERROR(INDEX('ENTRADA DATOS'!$B$4:$B$123,MATCH(LARGE('ENTRADA DATOS'!$L$4:$L$123,109),'ENTRADA DATOS'!$L$4:$L$123,0)),"")</f>
        <v/>
      </c>
      <c r="C112" s="2" t="str">
        <f>IFERROR(INDEX('ENTRADA DATOS'!$C$4:$C$123,MATCH(LARGE('ENTRADA DATOS'!$L$4:$L$123,109),'ENTRADA DATOS'!$L$4:$L$123,0)),"")</f>
        <v/>
      </c>
      <c r="D112" s="2" t="str">
        <f>IFERROR(INDEX('ENTRADA DATOS'!$D$4:$D$123,MATCH(LARGE('ENTRADA DATOS'!$L$4:$L$123,109),'ENTRADA DATOS'!$L$4:$L$123,0)),"")</f>
        <v/>
      </c>
      <c r="E112" s="2" t="str">
        <f>IFERROR(INDEX('ENTRADA DATOS'!$E$4:$E$123,MATCH(LARGE('ENTRADA DATOS'!$L$4:$L$123,109),'ENTRADA DATOS'!$L$4:$L$123,0)),"")</f>
        <v/>
      </c>
      <c r="F112" s="2" t="str">
        <f>IFERROR(INDEX('ENTRADA DATOS'!$F$4:$F$123,MATCH(LARGE('ENTRADA DATOS'!$L$4:$L$123,109),'ENTRADA DATOS'!$L$4:$L$123,0)),"")</f>
        <v/>
      </c>
      <c r="G112" s="2" t="str">
        <f>IFERROR(INDEX('ENTRADA DATOS'!$G$4:$G$123,MATCH(LARGE('ENTRADA DATOS'!$L$4:$L$123,109),'ENTRADA DATOS'!$L$4:$L$123,0)),"")</f>
        <v/>
      </c>
      <c r="H112" s="2" t="str">
        <f>IFERROR(INDEX('ENTRADA DATOS'!$H$4:$H$123,MATCH(LARGE('ENTRADA DATOS'!$L$4:$L$123,109),'ENTRADA DATOS'!$L$4:$L$123,0)),"")</f>
        <v/>
      </c>
      <c r="I112" s="2" t="str">
        <f>IFERROR(INDEX('ENTRADA DATOS'!$I$4:$I$123,MATCH(LARGE('ENTRADA DATOS'!$L$4:$L$123,109),'ENTRADA DATOS'!$L$4:$L$123,0)),"")</f>
        <v/>
      </c>
      <c r="J112" s="3" t="str">
        <f>IFERROR(INDEX('ENTRADA DATOS'!$J$4:$J$123,MATCH(LARGE('ENTRADA DATOS'!$L$4:$L$123,109),'ENTRADA DATOS'!$L$4:$L$123,0)),"")</f>
        <v/>
      </c>
      <c r="K112" s="3" t="str">
        <f>IFERROR(INDEX('ENTRADA DATOS'!$K$4:$K$123,MATCH(LARGE('ENTRADA DATOS'!$L$4:$L$123,109),'ENTRADA DATOS'!$L$4:$L$123,0)),"")</f>
        <v/>
      </c>
    </row>
    <row r="113" spans="1:11" x14ac:dyDescent="0.3">
      <c r="A113" s="4" t="str">
        <f>IF(I113="","",110)</f>
        <v/>
      </c>
      <c r="B113" s="5" t="str">
        <f>IFERROR(INDEX('ENTRADA DATOS'!$B$4:$B$123,MATCH(LARGE('ENTRADA DATOS'!$L$4:$L$123,110),'ENTRADA DATOS'!$L$4:$L$123,0)),"")</f>
        <v/>
      </c>
      <c r="C113" s="4" t="str">
        <f>IFERROR(INDEX('ENTRADA DATOS'!$C$4:$C$123,MATCH(LARGE('ENTRADA DATOS'!$L$4:$L$123,110),'ENTRADA DATOS'!$L$4:$L$123,0)),"")</f>
        <v/>
      </c>
      <c r="D113" s="4" t="str">
        <f>IFERROR(INDEX('ENTRADA DATOS'!$D$4:$D$123,MATCH(LARGE('ENTRADA DATOS'!$L$4:$L$123,110),'ENTRADA DATOS'!$L$4:$L$123,0)),"")</f>
        <v/>
      </c>
      <c r="E113" s="4" t="str">
        <f>IFERROR(INDEX('ENTRADA DATOS'!$E$4:$E$123,MATCH(LARGE('ENTRADA DATOS'!$L$4:$L$123,110),'ENTRADA DATOS'!$L$4:$L$123,0)),"")</f>
        <v/>
      </c>
      <c r="F113" s="4" t="str">
        <f>IFERROR(INDEX('ENTRADA DATOS'!$F$4:$F$123,MATCH(LARGE('ENTRADA DATOS'!$L$4:$L$123,110),'ENTRADA DATOS'!$L$4:$L$123,0)),"")</f>
        <v/>
      </c>
      <c r="G113" s="4" t="str">
        <f>IFERROR(INDEX('ENTRADA DATOS'!$G$4:$G$123,MATCH(LARGE('ENTRADA DATOS'!$L$4:$L$123,110),'ENTRADA DATOS'!$L$4:$L$123,0)),"")</f>
        <v/>
      </c>
      <c r="H113" s="4" t="str">
        <f>IFERROR(INDEX('ENTRADA DATOS'!$H$4:$H$123,MATCH(LARGE('ENTRADA DATOS'!$L$4:$L$123,110),'ENTRADA DATOS'!$L$4:$L$123,0)),"")</f>
        <v/>
      </c>
      <c r="I113" s="4" t="str">
        <f>IFERROR(INDEX('ENTRADA DATOS'!$I$4:$I$123,MATCH(LARGE('ENTRADA DATOS'!$L$4:$L$123,110),'ENTRADA DATOS'!$L$4:$L$123,0)),"")</f>
        <v/>
      </c>
      <c r="J113" s="5" t="str">
        <f>IFERROR(INDEX('ENTRADA DATOS'!$J$4:$J$123,MATCH(LARGE('ENTRADA DATOS'!$L$4:$L$123,110),'ENTRADA DATOS'!$L$4:$L$123,0)),"")</f>
        <v/>
      </c>
      <c r="K113" s="5" t="str">
        <f>IFERROR(INDEX('ENTRADA DATOS'!$K$4:$K$123,MATCH(LARGE('ENTRADA DATOS'!$L$4:$L$123,110),'ENTRADA DATOS'!$L$4:$L$123,0)),"")</f>
        <v/>
      </c>
    </row>
    <row r="114" spans="1:11" x14ac:dyDescent="0.3">
      <c r="A114" s="2" t="str">
        <f>IF(I114="","",111)</f>
        <v/>
      </c>
      <c r="B114" s="3" t="str">
        <f>IFERROR(INDEX('ENTRADA DATOS'!$B$4:$B$123,MATCH(LARGE('ENTRADA DATOS'!$L$4:$L$123,111),'ENTRADA DATOS'!$L$4:$L$123,0)),"")</f>
        <v/>
      </c>
      <c r="C114" s="2" t="str">
        <f>IFERROR(INDEX('ENTRADA DATOS'!$C$4:$C$123,MATCH(LARGE('ENTRADA DATOS'!$L$4:$L$123,111),'ENTRADA DATOS'!$L$4:$L$123,0)),"")</f>
        <v/>
      </c>
      <c r="D114" s="2" t="str">
        <f>IFERROR(INDEX('ENTRADA DATOS'!$D$4:$D$123,MATCH(LARGE('ENTRADA DATOS'!$L$4:$L$123,111),'ENTRADA DATOS'!$L$4:$L$123,0)),"")</f>
        <v/>
      </c>
      <c r="E114" s="2" t="str">
        <f>IFERROR(INDEX('ENTRADA DATOS'!$E$4:$E$123,MATCH(LARGE('ENTRADA DATOS'!$L$4:$L$123,111),'ENTRADA DATOS'!$L$4:$L$123,0)),"")</f>
        <v/>
      </c>
      <c r="F114" s="2" t="str">
        <f>IFERROR(INDEX('ENTRADA DATOS'!$F$4:$F$123,MATCH(LARGE('ENTRADA DATOS'!$L$4:$L$123,111),'ENTRADA DATOS'!$L$4:$L$123,0)),"")</f>
        <v/>
      </c>
      <c r="G114" s="2" t="str">
        <f>IFERROR(INDEX('ENTRADA DATOS'!$G$4:$G$123,MATCH(LARGE('ENTRADA DATOS'!$L$4:$L$123,111),'ENTRADA DATOS'!$L$4:$L$123,0)),"")</f>
        <v/>
      </c>
      <c r="H114" s="2" t="str">
        <f>IFERROR(INDEX('ENTRADA DATOS'!$H$4:$H$123,MATCH(LARGE('ENTRADA DATOS'!$L$4:$L$123,111),'ENTRADA DATOS'!$L$4:$L$123,0)),"")</f>
        <v/>
      </c>
      <c r="I114" s="2" t="str">
        <f>IFERROR(INDEX('ENTRADA DATOS'!$I$4:$I$123,MATCH(LARGE('ENTRADA DATOS'!$L$4:$L$123,111),'ENTRADA DATOS'!$L$4:$L$123,0)),"")</f>
        <v/>
      </c>
      <c r="J114" s="3" t="str">
        <f>IFERROR(INDEX('ENTRADA DATOS'!$J$4:$J$123,MATCH(LARGE('ENTRADA DATOS'!$L$4:$L$123,111),'ENTRADA DATOS'!$L$4:$L$123,0)),"")</f>
        <v/>
      </c>
      <c r="K114" s="3" t="str">
        <f>IFERROR(INDEX('ENTRADA DATOS'!$K$4:$K$123,MATCH(LARGE('ENTRADA DATOS'!$L$4:$L$123,111),'ENTRADA DATOS'!$L$4:$L$123,0)),"")</f>
        <v/>
      </c>
    </row>
    <row r="115" spans="1:11" x14ac:dyDescent="0.3">
      <c r="A115" s="4" t="str">
        <f>IF(I115="","",112)</f>
        <v/>
      </c>
      <c r="B115" s="5" t="str">
        <f>IFERROR(INDEX('ENTRADA DATOS'!$B$4:$B$123,MATCH(LARGE('ENTRADA DATOS'!$L$4:$L$123,112),'ENTRADA DATOS'!$L$4:$L$123,0)),"")</f>
        <v/>
      </c>
      <c r="C115" s="4" t="str">
        <f>IFERROR(INDEX('ENTRADA DATOS'!$C$4:$C$123,MATCH(LARGE('ENTRADA DATOS'!$L$4:$L$123,112),'ENTRADA DATOS'!$L$4:$L$123,0)),"")</f>
        <v/>
      </c>
      <c r="D115" s="4" t="str">
        <f>IFERROR(INDEX('ENTRADA DATOS'!$D$4:$D$123,MATCH(LARGE('ENTRADA DATOS'!$L$4:$L$123,112),'ENTRADA DATOS'!$L$4:$L$123,0)),"")</f>
        <v/>
      </c>
      <c r="E115" s="4" t="str">
        <f>IFERROR(INDEX('ENTRADA DATOS'!$E$4:$E$123,MATCH(LARGE('ENTRADA DATOS'!$L$4:$L$123,112),'ENTRADA DATOS'!$L$4:$L$123,0)),"")</f>
        <v/>
      </c>
      <c r="F115" s="4" t="str">
        <f>IFERROR(INDEX('ENTRADA DATOS'!$F$4:$F$123,MATCH(LARGE('ENTRADA DATOS'!$L$4:$L$123,112),'ENTRADA DATOS'!$L$4:$L$123,0)),"")</f>
        <v/>
      </c>
      <c r="G115" s="4" t="str">
        <f>IFERROR(INDEX('ENTRADA DATOS'!$G$4:$G$123,MATCH(LARGE('ENTRADA DATOS'!$L$4:$L$123,112),'ENTRADA DATOS'!$L$4:$L$123,0)),"")</f>
        <v/>
      </c>
      <c r="H115" s="4" t="str">
        <f>IFERROR(INDEX('ENTRADA DATOS'!$H$4:$H$123,MATCH(LARGE('ENTRADA DATOS'!$L$4:$L$123,112),'ENTRADA DATOS'!$L$4:$L$123,0)),"")</f>
        <v/>
      </c>
      <c r="I115" s="4" t="str">
        <f>IFERROR(INDEX('ENTRADA DATOS'!$I$4:$I$123,MATCH(LARGE('ENTRADA DATOS'!$L$4:$L$123,112),'ENTRADA DATOS'!$L$4:$L$123,0)),"")</f>
        <v/>
      </c>
      <c r="J115" s="5" t="str">
        <f>IFERROR(INDEX('ENTRADA DATOS'!$J$4:$J$123,MATCH(LARGE('ENTRADA DATOS'!$L$4:$L$123,112),'ENTRADA DATOS'!$L$4:$L$123,0)),"")</f>
        <v/>
      </c>
      <c r="K115" s="5" t="str">
        <f>IFERROR(INDEX('ENTRADA DATOS'!$K$4:$K$123,MATCH(LARGE('ENTRADA DATOS'!$L$4:$L$123,112),'ENTRADA DATOS'!$L$4:$L$123,0)),"")</f>
        <v/>
      </c>
    </row>
    <row r="116" spans="1:11" x14ac:dyDescent="0.3">
      <c r="A116" s="2" t="str">
        <f>IF(I116="","",113)</f>
        <v/>
      </c>
      <c r="B116" s="3" t="str">
        <f>IFERROR(INDEX('ENTRADA DATOS'!$B$4:$B$123,MATCH(LARGE('ENTRADA DATOS'!$L$4:$L$123,113),'ENTRADA DATOS'!$L$4:$L$123,0)),"")</f>
        <v/>
      </c>
      <c r="C116" s="2" t="str">
        <f>IFERROR(INDEX('ENTRADA DATOS'!$C$4:$C$123,MATCH(LARGE('ENTRADA DATOS'!$L$4:$L$123,113),'ENTRADA DATOS'!$L$4:$L$123,0)),"")</f>
        <v/>
      </c>
      <c r="D116" s="2" t="str">
        <f>IFERROR(INDEX('ENTRADA DATOS'!$D$4:$D$123,MATCH(LARGE('ENTRADA DATOS'!$L$4:$L$123,113),'ENTRADA DATOS'!$L$4:$L$123,0)),"")</f>
        <v/>
      </c>
      <c r="E116" s="2" t="str">
        <f>IFERROR(INDEX('ENTRADA DATOS'!$E$4:$E$123,MATCH(LARGE('ENTRADA DATOS'!$L$4:$L$123,113),'ENTRADA DATOS'!$L$4:$L$123,0)),"")</f>
        <v/>
      </c>
      <c r="F116" s="2" t="str">
        <f>IFERROR(INDEX('ENTRADA DATOS'!$F$4:$F$123,MATCH(LARGE('ENTRADA DATOS'!$L$4:$L$123,113),'ENTRADA DATOS'!$L$4:$L$123,0)),"")</f>
        <v/>
      </c>
      <c r="G116" s="2" t="str">
        <f>IFERROR(INDEX('ENTRADA DATOS'!$G$4:$G$123,MATCH(LARGE('ENTRADA DATOS'!$L$4:$L$123,113),'ENTRADA DATOS'!$L$4:$L$123,0)),"")</f>
        <v/>
      </c>
      <c r="H116" s="2" t="str">
        <f>IFERROR(INDEX('ENTRADA DATOS'!$H$4:$H$123,MATCH(LARGE('ENTRADA DATOS'!$L$4:$L$123,113),'ENTRADA DATOS'!$L$4:$L$123,0)),"")</f>
        <v/>
      </c>
      <c r="I116" s="2" t="str">
        <f>IFERROR(INDEX('ENTRADA DATOS'!$I$4:$I$123,MATCH(LARGE('ENTRADA DATOS'!$L$4:$L$123,113),'ENTRADA DATOS'!$L$4:$L$123,0)),"")</f>
        <v/>
      </c>
      <c r="J116" s="3" t="str">
        <f>IFERROR(INDEX('ENTRADA DATOS'!$J$4:$J$123,MATCH(LARGE('ENTRADA DATOS'!$L$4:$L$123,113),'ENTRADA DATOS'!$L$4:$L$123,0)),"")</f>
        <v/>
      </c>
      <c r="K116" s="3" t="str">
        <f>IFERROR(INDEX('ENTRADA DATOS'!$K$4:$K$123,MATCH(LARGE('ENTRADA DATOS'!$L$4:$L$123,113),'ENTRADA DATOS'!$L$4:$L$123,0)),"")</f>
        <v/>
      </c>
    </row>
    <row r="117" spans="1:11" x14ac:dyDescent="0.3">
      <c r="A117" s="4" t="str">
        <f>IF(I117="","",114)</f>
        <v/>
      </c>
      <c r="B117" s="5" t="str">
        <f>IFERROR(INDEX('ENTRADA DATOS'!$B$4:$B$123,MATCH(LARGE('ENTRADA DATOS'!$L$4:$L$123,114),'ENTRADA DATOS'!$L$4:$L$123,0)),"")</f>
        <v/>
      </c>
      <c r="C117" s="4" t="str">
        <f>IFERROR(INDEX('ENTRADA DATOS'!$C$4:$C$123,MATCH(LARGE('ENTRADA DATOS'!$L$4:$L$123,114),'ENTRADA DATOS'!$L$4:$L$123,0)),"")</f>
        <v/>
      </c>
      <c r="D117" s="4" t="str">
        <f>IFERROR(INDEX('ENTRADA DATOS'!$D$4:$D$123,MATCH(LARGE('ENTRADA DATOS'!$L$4:$L$123,114),'ENTRADA DATOS'!$L$4:$L$123,0)),"")</f>
        <v/>
      </c>
      <c r="E117" s="4" t="str">
        <f>IFERROR(INDEX('ENTRADA DATOS'!$E$4:$E$123,MATCH(LARGE('ENTRADA DATOS'!$L$4:$L$123,114),'ENTRADA DATOS'!$L$4:$L$123,0)),"")</f>
        <v/>
      </c>
      <c r="F117" s="4" t="str">
        <f>IFERROR(INDEX('ENTRADA DATOS'!$F$4:$F$123,MATCH(LARGE('ENTRADA DATOS'!$L$4:$L$123,114),'ENTRADA DATOS'!$L$4:$L$123,0)),"")</f>
        <v/>
      </c>
      <c r="G117" s="4" t="str">
        <f>IFERROR(INDEX('ENTRADA DATOS'!$G$4:$G$123,MATCH(LARGE('ENTRADA DATOS'!$L$4:$L$123,114),'ENTRADA DATOS'!$L$4:$L$123,0)),"")</f>
        <v/>
      </c>
      <c r="H117" s="4" t="str">
        <f>IFERROR(INDEX('ENTRADA DATOS'!$H$4:$H$123,MATCH(LARGE('ENTRADA DATOS'!$L$4:$L$123,114),'ENTRADA DATOS'!$L$4:$L$123,0)),"")</f>
        <v/>
      </c>
      <c r="I117" s="4" t="str">
        <f>IFERROR(INDEX('ENTRADA DATOS'!$I$4:$I$123,MATCH(LARGE('ENTRADA DATOS'!$L$4:$L$123,114),'ENTRADA DATOS'!$L$4:$L$123,0)),"")</f>
        <v/>
      </c>
      <c r="J117" s="5" t="str">
        <f>IFERROR(INDEX('ENTRADA DATOS'!$J$4:$J$123,MATCH(LARGE('ENTRADA DATOS'!$L$4:$L$123,114),'ENTRADA DATOS'!$L$4:$L$123,0)),"")</f>
        <v/>
      </c>
      <c r="K117" s="5" t="str">
        <f>IFERROR(INDEX('ENTRADA DATOS'!$K$4:$K$123,MATCH(LARGE('ENTRADA DATOS'!$L$4:$L$123,114),'ENTRADA DATOS'!$L$4:$L$123,0)),"")</f>
        <v/>
      </c>
    </row>
    <row r="118" spans="1:11" x14ac:dyDescent="0.3">
      <c r="A118" s="2" t="str">
        <f>IF(I118="","",115)</f>
        <v/>
      </c>
      <c r="B118" s="3" t="str">
        <f>IFERROR(INDEX('ENTRADA DATOS'!$B$4:$B$123,MATCH(LARGE('ENTRADA DATOS'!$L$4:$L$123,115),'ENTRADA DATOS'!$L$4:$L$123,0)),"")</f>
        <v/>
      </c>
      <c r="C118" s="2" t="str">
        <f>IFERROR(INDEX('ENTRADA DATOS'!$C$4:$C$123,MATCH(LARGE('ENTRADA DATOS'!$L$4:$L$123,115),'ENTRADA DATOS'!$L$4:$L$123,0)),"")</f>
        <v/>
      </c>
      <c r="D118" s="2" t="str">
        <f>IFERROR(INDEX('ENTRADA DATOS'!$D$4:$D$123,MATCH(LARGE('ENTRADA DATOS'!$L$4:$L$123,115),'ENTRADA DATOS'!$L$4:$L$123,0)),"")</f>
        <v/>
      </c>
      <c r="E118" s="2" t="str">
        <f>IFERROR(INDEX('ENTRADA DATOS'!$E$4:$E$123,MATCH(LARGE('ENTRADA DATOS'!$L$4:$L$123,115),'ENTRADA DATOS'!$L$4:$L$123,0)),"")</f>
        <v/>
      </c>
      <c r="F118" s="2" t="str">
        <f>IFERROR(INDEX('ENTRADA DATOS'!$F$4:$F$123,MATCH(LARGE('ENTRADA DATOS'!$L$4:$L$123,115),'ENTRADA DATOS'!$L$4:$L$123,0)),"")</f>
        <v/>
      </c>
      <c r="G118" s="2" t="str">
        <f>IFERROR(INDEX('ENTRADA DATOS'!$G$4:$G$123,MATCH(LARGE('ENTRADA DATOS'!$L$4:$L$123,115),'ENTRADA DATOS'!$L$4:$L$123,0)),"")</f>
        <v/>
      </c>
      <c r="H118" s="2" t="str">
        <f>IFERROR(INDEX('ENTRADA DATOS'!$H$4:$H$123,MATCH(LARGE('ENTRADA DATOS'!$L$4:$L$123,115),'ENTRADA DATOS'!$L$4:$L$123,0)),"")</f>
        <v/>
      </c>
      <c r="I118" s="2" t="str">
        <f>IFERROR(INDEX('ENTRADA DATOS'!$I$4:$I$123,MATCH(LARGE('ENTRADA DATOS'!$L$4:$L$123,115),'ENTRADA DATOS'!$L$4:$L$123,0)),"")</f>
        <v/>
      </c>
      <c r="J118" s="3" t="str">
        <f>IFERROR(INDEX('ENTRADA DATOS'!$J$4:$J$123,MATCH(LARGE('ENTRADA DATOS'!$L$4:$L$123,115),'ENTRADA DATOS'!$L$4:$L$123,0)),"")</f>
        <v/>
      </c>
      <c r="K118" s="3" t="str">
        <f>IFERROR(INDEX('ENTRADA DATOS'!$K$4:$K$123,MATCH(LARGE('ENTRADA DATOS'!$L$4:$L$123,115),'ENTRADA DATOS'!$L$4:$L$123,0)),"")</f>
        <v/>
      </c>
    </row>
    <row r="119" spans="1:11" x14ac:dyDescent="0.3">
      <c r="A119" s="4" t="str">
        <f>IF(I119="","",116)</f>
        <v/>
      </c>
      <c r="B119" s="5" t="str">
        <f>IFERROR(INDEX('ENTRADA DATOS'!$B$4:$B$123,MATCH(LARGE('ENTRADA DATOS'!$L$4:$L$123,116),'ENTRADA DATOS'!$L$4:$L$123,0)),"")</f>
        <v/>
      </c>
      <c r="C119" s="4" t="str">
        <f>IFERROR(INDEX('ENTRADA DATOS'!$C$4:$C$123,MATCH(LARGE('ENTRADA DATOS'!$L$4:$L$123,116),'ENTRADA DATOS'!$L$4:$L$123,0)),"")</f>
        <v/>
      </c>
      <c r="D119" s="4" t="str">
        <f>IFERROR(INDEX('ENTRADA DATOS'!$D$4:$D$123,MATCH(LARGE('ENTRADA DATOS'!$L$4:$L$123,116),'ENTRADA DATOS'!$L$4:$L$123,0)),"")</f>
        <v/>
      </c>
      <c r="E119" s="4" t="str">
        <f>IFERROR(INDEX('ENTRADA DATOS'!$E$4:$E$123,MATCH(LARGE('ENTRADA DATOS'!$L$4:$L$123,116),'ENTRADA DATOS'!$L$4:$L$123,0)),"")</f>
        <v/>
      </c>
      <c r="F119" s="4" t="str">
        <f>IFERROR(INDEX('ENTRADA DATOS'!$F$4:$F$123,MATCH(LARGE('ENTRADA DATOS'!$L$4:$L$123,116),'ENTRADA DATOS'!$L$4:$L$123,0)),"")</f>
        <v/>
      </c>
      <c r="G119" s="4" t="str">
        <f>IFERROR(INDEX('ENTRADA DATOS'!$G$4:$G$123,MATCH(LARGE('ENTRADA DATOS'!$L$4:$L$123,116),'ENTRADA DATOS'!$L$4:$L$123,0)),"")</f>
        <v/>
      </c>
      <c r="H119" s="4" t="str">
        <f>IFERROR(INDEX('ENTRADA DATOS'!$H$4:$H$123,MATCH(LARGE('ENTRADA DATOS'!$L$4:$L$123,116),'ENTRADA DATOS'!$L$4:$L$123,0)),"")</f>
        <v/>
      </c>
      <c r="I119" s="4" t="str">
        <f>IFERROR(INDEX('ENTRADA DATOS'!$I$4:$I$123,MATCH(LARGE('ENTRADA DATOS'!$L$4:$L$123,116),'ENTRADA DATOS'!$L$4:$L$123,0)),"")</f>
        <v/>
      </c>
      <c r="J119" s="5" t="str">
        <f>IFERROR(INDEX('ENTRADA DATOS'!$J$4:$J$123,MATCH(LARGE('ENTRADA DATOS'!$L$4:$L$123,116),'ENTRADA DATOS'!$L$4:$L$123,0)),"")</f>
        <v/>
      </c>
      <c r="K119" s="5" t="str">
        <f>IFERROR(INDEX('ENTRADA DATOS'!$K$4:$K$123,MATCH(LARGE('ENTRADA DATOS'!$L$4:$L$123,116),'ENTRADA DATOS'!$L$4:$L$123,0)),"")</f>
        <v/>
      </c>
    </row>
    <row r="120" spans="1:11" x14ac:dyDescent="0.3">
      <c r="A120" s="2" t="str">
        <f>IF(I120="","",117)</f>
        <v/>
      </c>
      <c r="B120" s="3" t="str">
        <f>IFERROR(INDEX('ENTRADA DATOS'!$B$4:$B$123,MATCH(LARGE('ENTRADA DATOS'!$L$4:$L$123,117),'ENTRADA DATOS'!$L$4:$L$123,0)),"")</f>
        <v/>
      </c>
      <c r="C120" s="2" t="str">
        <f>IFERROR(INDEX('ENTRADA DATOS'!$C$4:$C$123,MATCH(LARGE('ENTRADA DATOS'!$L$4:$L$123,117),'ENTRADA DATOS'!$L$4:$L$123,0)),"")</f>
        <v/>
      </c>
      <c r="D120" s="2" t="str">
        <f>IFERROR(INDEX('ENTRADA DATOS'!$D$4:$D$123,MATCH(LARGE('ENTRADA DATOS'!$L$4:$L$123,117),'ENTRADA DATOS'!$L$4:$L$123,0)),"")</f>
        <v/>
      </c>
      <c r="E120" s="2" t="str">
        <f>IFERROR(INDEX('ENTRADA DATOS'!$E$4:$E$123,MATCH(LARGE('ENTRADA DATOS'!$L$4:$L$123,117),'ENTRADA DATOS'!$L$4:$L$123,0)),"")</f>
        <v/>
      </c>
      <c r="F120" s="2" t="str">
        <f>IFERROR(INDEX('ENTRADA DATOS'!$F$4:$F$123,MATCH(LARGE('ENTRADA DATOS'!$L$4:$L$123,117),'ENTRADA DATOS'!$L$4:$L$123,0)),"")</f>
        <v/>
      </c>
      <c r="G120" s="2" t="str">
        <f>IFERROR(INDEX('ENTRADA DATOS'!$G$4:$G$123,MATCH(LARGE('ENTRADA DATOS'!$L$4:$L$123,117),'ENTRADA DATOS'!$L$4:$L$123,0)),"")</f>
        <v/>
      </c>
      <c r="H120" s="2" t="str">
        <f>IFERROR(INDEX('ENTRADA DATOS'!$H$4:$H$123,MATCH(LARGE('ENTRADA DATOS'!$L$4:$L$123,117),'ENTRADA DATOS'!$L$4:$L$123,0)),"")</f>
        <v/>
      </c>
      <c r="I120" s="2" t="str">
        <f>IFERROR(INDEX('ENTRADA DATOS'!$I$4:$I$123,MATCH(LARGE('ENTRADA DATOS'!$L$4:$L$123,117),'ENTRADA DATOS'!$L$4:$L$123,0)),"")</f>
        <v/>
      </c>
      <c r="J120" s="3" t="str">
        <f>IFERROR(INDEX('ENTRADA DATOS'!$J$4:$J$123,MATCH(LARGE('ENTRADA DATOS'!$L$4:$L$123,117),'ENTRADA DATOS'!$L$4:$L$123,0)),"")</f>
        <v/>
      </c>
      <c r="K120" s="3" t="str">
        <f>IFERROR(INDEX('ENTRADA DATOS'!$K$4:$K$123,MATCH(LARGE('ENTRADA DATOS'!$L$4:$L$123,117),'ENTRADA DATOS'!$L$4:$L$123,0)),"")</f>
        <v/>
      </c>
    </row>
    <row r="121" spans="1:11" x14ac:dyDescent="0.3">
      <c r="A121" s="4" t="str">
        <f>IF(I121="","",118)</f>
        <v/>
      </c>
      <c r="B121" s="5" t="str">
        <f>IFERROR(INDEX('ENTRADA DATOS'!$B$4:$B$123,MATCH(LARGE('ENTRADA DATOS'!$L$4:$L$123,118),'ENTRADA DATOS'!$L$4:$L$123,0)),"")</f>
        <v/>
      </c>
      <c r="C121" s="4" t="str">
        <f>IFERROR(INDEX('ENTRADA DATOS'!$C$4:$C$123,MATCH(LARGE('ENTRADA DATOS'!$L$4:$L$123,118),'ENTRADA DATOS'!$L$4:$L$123,0)),"")</f>
        <v/>
      </c>
      <c r="D121" s="4" t="str">
        <f>IFERROR(INDEX('ENTRADA DATOS'!$D$4:$D$123,MATCH(LARGE('ENTRADA DATOS'!$L$4:$L$123,118),'ENTRADA DATOS'!$L$4:$L$123,0)),"")</f>
        <v/>
      </c>
      <c r="E121" s="4" t="str">
        <f>IFERROR(INDEX('ENTRADA DATOS'!$E$4:$E$123,MATCH(LARGE('ENTRADA DATOS'!$L$4:$L$123,118),'ENTRADA DATOS'!$L$4:$L$123,0)),"")</f>
        <v/>
      </c>
      <c r="F121" s="4" t="str">
        <f>IFERROR(INDEX('ENTRADA DATOS'!$F$4:$F$123,MATCH(LARGE('ENTRADA DATOS'!$L$4:$L$123,118),'ENTRADA DATOS'!$L$4:$L$123,0)),"")</f>
        <v/>
      </c>
      <c r="G121" s="4" t="str">
        <f>IFERROR(INDEX('ENTRADA DATOS'!$G$4:$G$123,MATCH(LARGE('ENTRADA DATOS'!$L$4:$L$123,118),'ENTRADA DATOS'!$L$4:$L$123,0)),"")</f>
        <v/>
      </c>
      <c r="H121" s="4" t="str">
        <f>IFERROR(INDEX('ENTRADA DATOS'!$H$4:$H$123,MATCH(LARGE('ENTRADA DATOS'!$L$4:$L$123,118),'ENTRADA DATOS'!$L$4:$L$123,0)),"")</f>
        <v/>
      </c>
      <c r="I121" s="4" t="str">
        <f>IFERROR(INDEX('ENTRADA DATOS'!$I$4:$I$123,MATCH(LARGE('ENTRADA DATOS'!$L$4:$L$123,118),'ENTRADA DATOS'!$L$4:$L$123,0)),"")</f>
        <v/>
      </c>
      <c r="J121" s="5" t="str">
        <f>IFERROR(INDEX('ENTRADA DATOS'!$J$4:$J$123,MATCH(LARGE('ENTRADA DATOS'!$L$4:$L$123,118),'ENTRADA DATOS'!$L$4:$L$123,0)),"")</f>
        <v/>
      </c>
      <c r="K121" s="5" t="str">
        <f>IFERROR(INDEX('ENTRADA DATOS'!$K$4:$K$123,MATCH(LARGE('ENTRADA DATOS'!$L$4:$L$123,118),'ENTRADA DATOS'!$L$4:$L$123,0)),"")</f>
        <v/>
      </c>
    </row>
    <row r="122" spans="1:11" x14ac:dyDescent="0.3">
      <c r="A122" s="2" t="str">
        <f>IF(I122="","",119)</f>
        <v/>
      </c>
      <c r="B122" s="3" t="str">
        <f>IFERROR(INDEX('ENTRADA DATOS'!$B$4:$B$123,MATCH(LARGE('ENTRADA DATOS'!$L$4:$L$123,119),'ENTRADA DATOS'!$L$4:$L$123,0)),"")</f>
        <v/>
      </c>
      <c r="C122" s="2" t="str">
        <f>IFERROR(INDEX('ENTRADA DATOS'!$C$4:$C$123,MATCH(LARGE('ENTRADA DATOS'!$L$4:$L$123,119),'ENTRADA DATOS'!$L$4:$L$123,0)),"")</f>
        <v/>
      </c>
      <c r="D122" s="2" t="str">
        <f>IFERROR(INDEX('ENTRADA DATOS'!$D$4:$D$123,MATCH(LARGE('ENTRADA DATOS'!$L$4:$L$123,119),'ENTRADA DATOS'!$L$4:$L$123,0)),"")</f>
        <v/>
      </c>
      <c r="E122" s="2" t="str">
        <f>IFERROR(INDEX('ENTRADA DATOS'!$E$4:$E$123,MATCH(LARGE('ENTRADA DATOS'!$L$4:$L$123,119),'ENTRADA DATOS'!$L$4:$L$123,0)),"")</f>
        <v/>
      </c>
      <c r="F122" s="2" t="str">
        <f>IFERROR(INDEX('ENTRADA DATOS'!$F$4:$F$123,MATCH(LARGE('ENTRADA DATOS'!$L$4:$L$123,119),'ENTRADA DATOS'!$L$4:$L$123,0)),"")</f>
        <v/>
      </c>
      <c r="G122" s="2" t="str">
        <f>IFERROR(INDEX('ENTRADA DATOS'!$G$4:$G$123,MATCH(LARGE('ENTRADA DATOS'!$L$4:$L$123,119),'ENTRADA DATOS'!$L$4:$L$123,0)),"")</f>
        <v/>
      </c>
      <c r="H122" s="2" t="str">
        <f>IFERROR(INDEX('ENTRADA DATOS'!$H$4:$H$123,MATCH(LARGE('ENTRADA DATOS'!$L$4:$L$123,119),'ENTRADA DATOS'!$L$4:$L$123,0)),"")</f>
        <v/>
      </c>
      <c r="I122" s="2" t="str">
        <f>IFERROR(INDEX('ENTRADA DATOS'!$I$4:$I$123,MATCH(LARGE('ENTRADA DATOS'!$L$4:$L$123,119),'ENTRADA DATOS'!$L$4:$L$123,0)),"")</f>
        <v/>
      </c>
      <c r="J122" s="3" t="str">
        <f>IFERROR(INDEX('ENTRADA DATOS'!$J$4:$J$123,MATCH(LARGE('ENTRADA DATOS'!$L$4:$L$123,119),'ENTRADA DATOS'!$L$4:$L$123,0)),"")</f>
        <v/>
      </c>
      <c r="K122" s="3" t="str">
        <f>IFERROR(INDEX('ENTRADA DATOS'!$K$4:$K$123,MATCH(LARGE('ENTRADA DATOS'!$L$4:$L$123,119),'ENTRADA DATOS'!$L$4:$L$123,0)),"")</f>
        <v/>
      </c>
    </row>
    <row r="123" spans="1:11" x14ac:dyDescent="0.3">
      <c r="A123" s="4" t="str">
        <f>IF(I123="","",120)</f>
        <v/>
      </c>
      <c r="B123" s="5" t="str">
        <f>IFERROR(INDEX('ENTRADA DATOS'!$B$4:$B$123,MATCH(LARGE('ENTRADA DATOS'!$L$4:$L$123,120),'ENTRADA DATOS'!$L$4:$L$123,0)),"")</f>
        <v/>
      </c>
      <c r="C123" s="4" t="str">
        <f>IFERROR(INDEX('ENTRADA DATOS'!$C$4:$C$123,MATCH(LARGE('ENTRADA DATOS'!$L$4:$L$123,120),'ENTRADA DATOS'!$L$4:$L$123,0)),"")</f>
        <v/>
      </c>
      <c r="D123" s="4" t="str">
        <f>IFERROR(INDEX('ENTRADA DATOS'!$D$4:$D$123,MATCH(LARGE('ENTRADA DATOS'!$L$4:$L$123,120),'ENTRADA DATOS'!$L$4:$L$123,0)),"")</f>
        <v/>
      </c>
      <c r="E123" s="4" t="str">
        <f>IFERROR(INDEX('ENTRADA DATOS'!$E$4:$E$123,MATCH(LARGE('ENTRADA DATOS'!$L$4:$L$123,120),'ENTRADA DATOS'!$L$4:$L$123,0)),"")</f>
        <v/>
      </c>
      <c r="F123" s="4" t="str">
        <f>IFERROR(INDEX('ENTRADA DATOS'!$F$4:$F$123,MATCH(LARGE('ENTRADA DATOS'!$L$4:$L$123,120),'ENTRADA DATOS'!$L$4:$L$123,0)),"")</f>
        <v/>
      </c>
      <c r="G123" s="4" t="str">
        <f>IFERROR(INDEX('ENTRADA DATOS'!$G$4:$G$123,MATCH(LARGE('ENTRADA DATOS'!$L$4:$L$123,120),'ENTRADA DATOS'!$L$4:$L$123,0)),"")</f>
        <v/>
      </c>
      <c r="H123" s="4" t="str">
        <f>IFERROR(INDEX('ENTRADA DATOS'!$H$4:$H$123,MATCH(LARGE('ENTRADA DATOS'!$L$4:$L$123,120),'ENTRADA DATOS'!$L$4:$L$123,0)),"")</f>
        <v/>
      </c>
      <c r="I123" s="4" t="str">
        <f>IFERROR(INDEX('ENTRADA DATOS'!$I$4:$I$123,MATCH(LARGE('ENTRADA DATOS'!$L$4:$L$123,120),'ENTRADA DATOS'!$L$4:$L$123,0)),"")</f>
        <v/>
      </c>
      <c r="J123" s="5" t="str">
        <f>IFERROR(INDEX('ENTRADA DATOS'!$J$4:$J$123,MATCH(LARGE('ENTRADA DATOS'!$L$4:$L$123,120),'ENTRADA DATOS'!$L$4:$L$123,0)),"")</f>
        <v/>
      </c>
      <c r="K123" s="5" t="str">
        <f>IFERROR(INDEX('ENTRADA DATOS'!$K$4:$K$123,MATCH(LARGE('ENTRADA DATOS'!$L$4:$L$123,120),'ENTRADA DATOS'!$L$4:$L$123,0)),"")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 DATOS</vt:lpstr>
      <vt:lpstr>CLASIFICACION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Centenero</dc:creator>
  <cp:keywords/>
  <dc:description/>
  <cp:lastModifiedBy>Luis Centenero</cp:lastModifiedBy>
  <cp:revision/>
  <dcterms:created xsi:type="dcterms:W3CDTF">2026-09-10T10:41:58Z</dcterms:created>
  <dcterms:modified xsi:type="dcterms:W3CDTF">2026-09-10T17:45:14Z</dcterms:modified>
  <cp:category/>
  <cp:contentStatus/>
</cp:coreProperties>
</file>